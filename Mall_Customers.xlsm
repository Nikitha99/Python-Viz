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3.xml" ContentType="application/vnd.openxmlformats-officedocument.drawing+xml"/>
  <Override PartName="/xl/slicers/slicer2.xml" ContentType="application/vnd.ms-excel.slicer+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114"/>
  <workbookPr hidePivotFieldList="1" defaultThemeVersion="166925"/>
  <mc:AlternateContent xmlns:mc="http://schemas.openxmlformats.org/markup-compatibility/2006">
    <mc:Choice Requires="x15">
      <x15ac:absPath xmlns:x15ac="http://schemas.microsoft.com/office/spreadsheetml/2010/11/ac" url="/Users/nrajen/Desktop/"/>
    </mc:Choice>
  </mc:AlternateContent>
  <xr:revisionPtr revIDLastSave="0" documentId="8_{FA4B783E-F907-3E45-97A2-F8A0CB9E5863}" xr6:coauthVersionLast="36" xr6:coauthVersionMax="36" xr10:uidLastSave="{00000000-0000-0000-0000-000000000000}"/>
  <bookViews>
    <workbookView xWindow="2800" yWindow="940" windowWidth="28180" windowHeight="16020" activeTab="3" xr2:uid="{00000000-000D-0000-FFFF-FFFF00000000}"/>
  </bookViews>
  <sheets>
    <sheet name="Mall_Customers" sheetId="1" r:id="rId1"/>
    <sheet name="Wrok_Sheet1" sheetId="2" r:id="rId2"/>
    <sheet name="Work-Sheet" sheetId="3" r:id="rId3"/>
    <sheet name="Visualized" sheetId="6" r:id="rId4"/>
  </sheets>
  <definedNames>
    <definedName name="_xlnm._FilterDatabase" localSheetId="0" hidden="1">Mall_Customers!$A$1:$E$201</definedName>
    <definedName name="Slicer_Age1">#N/A</definedName>
    <definedName name="Slicer_Gender1">#N/A</definedName>
  </definedNames>
  <calcPr calcId="181029"/>
  <pivotCaches>
    <pivotCache cacheId="0" r:id="rId5"/>
  </pivotCaches>
  <fileRecoveryPr repairLoad="1"/>
  <extLst>
    <ext xmlns:x14="http://schemas.microsoft.com/office/spreadsheetml/2009/9/main" uri="{BBE1A952-AA13-448e-AADC-164F8A28A991}">
      <x14:slicerCaches>
        <x14:slicerCache r:id="rId6"/>
        <x14:slicerCache r:id="rId7"/>
      </x14:slicerCaches>
    </ext>
    <ext xmlns:x14="http://schemas.microsoft.com/office/spreadsheetml/2009/9/main" uri="{79F54976-1DA5-4618-B147-4CDE4B953A38}">
      <x14:workbookPr/>
    </ext>
  </extLst>
</workbook>
</file>

<file path=xl/calcChain.xml><?xml version="1.0" encoding="utf-8"?>
<calcChain xmlns="http://schemas.openxmlformats.org/spreadsheetml/2006/main">
  <c r="G25" i="1" l="1"/>
  <c r="G26" i="1"/>
  <c r="G27" i="1"/>
  <c r="G28" i="1"/>
  <c r="G29" i="1"/>
  <c r="G30" i="1"/>
  <c r="G31" i="1"/>
  <c r="G32" i="1"/>
  <c r="G33" i="1"/>
  <c r="G34" i="1"/>
  <c r="G35" i="1"/>
  <c r="G36" i="1"/>
  <c r="G37" i="1"/>
  <c r="G38" i="1"/>
  <c r="G39" i="1"/>
  <c r="G40" i="1"/>
  <c r="G41" i="1"/>
  <c r="G42" i="1"/>
  <c r="G43" i="1"/>
  <c r="G44" i="1"/>
  <c r="G45" i="1"/>
  <c r="G46" i="1"/>
  <c r="G47" i="1"/>
  <c r="G48" i="1"/>
  <c r="G49" i="1"/>
  <c r="G50" i="1"/>
  <c r="G51" i="1"/>
  <c r="G52" i="1"/>
  <c r="G53" i="1"/>
  <c r="G54" i="1"/>
  <c r="G55" i="1"/>
  <c r="G56" i="1"/>
  <c r="G57" i="1"/>
  <c r="G58" i="1"/>
  <c r="G59" i="1"/>
  <c r="G60" i="1"/>
  <c r="G61" i="1"/>
  <c r="G62" i="1"/>
  <c r="G63" i="1"/>
  <c r="G64" i="1"/>
  <c r="G65" i="1"/>
  <c r="G66" i="1"/>
  <c r="G67" i="1"/>
  <c r="G68" i="1"/>
  <c r="G69" i="1"/>
  <c r="G70" i="1"/>
  <c r="G71" i="1"/>
  <c r="G72" i="1"/>
  <c r="G73" i="1"/>
  <c r="G74" i="1"/>
  <c r="G75" i="1"/>
  <c r="G76" i="1"/>
  <c r="G77" i="1"/>
  <c r="G78" i="1"/>
  <c r="G79" i="1"/>
  <c r="G80" i="1"/>
  <c r="G81" i="1"/>
  <c r="G82" i="1"/>
  <c r="G83" i="1"/>
  <c r="G84" i="1"/>
  <c r="G85" i="1"/>
  <c r="G86" i="1"/>
  <c r="G87" i="1"/>
  <c r="G88" i="1"/>
  <c r="G89" i="1"/>
  <c r="G90" i="1"/>
  <c r="G91" i="1"/>
  <c r="G92" i="1"/>
  <c r="G93" i="1"/>
  <c r="G94" i="1"/>
  <c r="G95" i="1"/>
  <c r="G96" i="1"/>
  <c r="G97" i="1"/>
  <c r="G98" i="1"/>
  <c r="G99" i="1"/>
  <c r="G100" i="1"/>
  <c r="G101" i="1"/>
  <c r="G102" i="1"/>
  <c r="G103" i="1"/>
  <c r="G104" i="1"/>
  <c r="G105" i="1"/>
  <c r="G106" i="1"/>
  <c r="G107" i="1"/>
  <c r="G108" i="1"/>
  <c r="G109" i="1"/>
  <c r="G110" i="1"/>
  <c r="G111" i="1"/>
  <c r="G112" i="1"/>
  <c r="G113" i="1"/>
  <c r="G114" i="1"/>
  <c r="G115" i="1"/>
  <c r="G116" i="1"/>
  <c r="G117" i="1"/>
  <c r="G118" i="1"/>
  <c r="G119" i="1"/>
  <c r="G120" i="1"/>
  <c r="G121" i="1"/>
  <c r="G122" i="1"/>
  <c r="G123" i="1"/>
  <c r="G124" i="1"/>
  <c r="G125" i="1"/>
  <c r="G126" i="1"/>
  <c r="G127" i="1"/>
  <c r="G128" i="1"/>
  <c r="G129" i="1"/>
  <c r="G130" i="1"/>
  <c r="G131" i="1"/>
  <c r="G132" i="1"/>
  <c r="G133" i="1"/>
  <c r="G134" i="1"/>
  <c r="G135" i="1"/>
  <c r="G136" i="1"/>
  <c r="G137" i="1"/>
  <c r="G138" i="1"/>
  <c r="G139" i="1"/>
  <c r="G140" i="1"/>
  <c r="G141" i="1"/>
  <c r="G142" i="1"/>
  <c r="G143" i="1"/>
  <c r="G144" i="1"/>
  <c r="G145" i="1"/>
  <c r="G146" i="1"/>
  <c r="G147" i="1"/>
  <c r="G148" i="1"/>
  <c r="G149" i="1"/>
  <c r="G150" i="1"/>
  <c r="G151" i="1"/>
  <c r="G152" i="1"/>
  <c r="G153" i="1"/>
  <c r="G154" i="1"/>
  <c r="G155" i="1"/>
  <c r="G156" i="1"/>
  <c r="G157" i="1"/>
  <c r="G158" i="1"/>
  <c r="G159" i="1"/>
  <c r="G160" i="1"/>
  <c r="G161" i="1"/>
  <c r="G162" i="1"/>
  <c r="G163" i="1"/>
  <c r="G164" i="1"/>
  <c r="G165" i="1"/>
  <c r="G166" i="1"/>
  <c r="G167" i="1"/>
  <c r="G168" i="1"/>
  <c r="G169" i="1"/>
  <c r="G170" i="1"/>
  <c r="G171" i="1"/>
  <c r="G172" i="1"/>
  <c r="G173" i="1"/>
  <c r="G174" i="1"/>
  <c r="G175" i="1"/>
  <c r="G176" i="1"/>
  <c r="G177" i="1"/>
  <c r="G178" i="1"/>
  <c r="G179" i="1"/>
  <c r="G180" i="1"/>
  <c r="G181" i="1"/>
  <c r="G182" i="1"/>
  <c r="G183" i="1"/>
  <c r="G184" i="1"/>
  <c r="G185" i="1"/>
  <c r="G186" i="1"/>
  <c r="G187" i="1"/>
  <c r="G188" i="1"/>
  <c r="G189" i="1"/>
  <c r="G190" i="1"/>
  <c r="G191" i="1"/>
  <c r="G192" i="1"/>
  <c r="G193" i="1"/>
  <c r="G194" i="1"/>
  <c r="G195" i="1"/>
  <c r="G196" i="1"/>
  <c r="G197" i="1"/>
  <c r="G198" i="1"/>
  <c r="G199" i="1"/>
  <c r="G200" i="1"/>
  <c r="G201" i="1"/>
  <c r="G24" i="1"/>
  <c r="G23" i="1"/>
  <c r="G22" i="1"/>
  <c r="G21" i="1"/>
  <c r="G20" i="1"/>
  <c r="G19" i="1"/>
  <c r="G18" i="1"/>
  <c r="G17" i="1"/>
  <c r="G16" i="1"/>
  <c r="G15" i="1"/>
  <c r="G14" i="1"/>
  <c r="G13" i="1"/>
  <c r="G12" i="1"/>
  <c r="G11" i="1"/>
  <c r="G10" i="1"/>
  <c r="G9" i="1"/>
  <c r="G8" i="1"/>
  <c r="G7" i="1"/>
  <c r="G6" i="1"/>
  <c r="G5" i="1"/>
  <c r="G4" i="1"/>
  <c r="G3" i="1"/>
  <c r="G2" i="1"/>
  <c r="F13" i="2"/>
  <c r="F12" i="2"/>
  <c r="F9" i="2"/>
  <c r="E9" i="2" s="1"/>
  <c r="F8" i="2"/>
  <c r="E8" i="2" s="1"/>
  <c r="E3" i="2"/>
  <c r="E2" i="2"/>
  <c r="E4" i="2" l="1"/>
  <c r="E6" i="2" s="1"/>
  <c r="E5" i="2" l="1"/>
</calcChain>
</file>

<file path=xl/sharedStrings.xml><?xml version="1.0" encoding="utf-8"?>
<sst xmlns="http://schemas.openxmlformats.org/spreadsheetml/2006/main" count="672" uniqueCount="26">
  <si>
    <t>CustomerID</t>
  </si>
  <si>
    <t>Gender</t>
  </si>
  <si>
    <t>Age</t>
  </si>
  <si>
    <t>Annual Income (k$)</t>
  </si>
  <si>
    <t>Spending Score (1-100)</t>
  </si>
  <si>
    <t>Male</t>
  </si>
  <si>
    <t>Female</t>
  </si>
  <si>
    <t xml:space="preserve">%Male </t>
  </si>
  <si>
    <t>%Female</t>
  </si>
  <si>
    <t xml:space="preserve">Total </t>
  </si>
  <si>
    <t xml:space="preserve">Male </t>
  </si>
  <si>
    <t xml:space="preserve">Average Spending </t>
  </si>
  <si>
    <t xml:space="preserve">Female </t>
  </si>
  <si>
    <t>Average Annual Income</t>
  </si>
  <si>
    <t>Row Labels</t>
  </si>
  <si>
    <t>Grand Total</t>
  </si>
  <si>
    <t>Column Labels</t>
  </si>
  <si>
    <t>Count of Age</t>
  </si>
  <si>
    <t>18-27</t>
  </si>
  <si>
    <t>28-37</t>
  </si>
  <si>
    <t>38-47</t>
  </si>
  <si>
    <t>48-57</t>
  </si>
  <si>
    <t>58-67</t>
  </si>
  <si>
    <t>68-77</t>
  </si>
  <si>
    <t xml:space="preserve">Average of Spending Score </t>
  </si>
  <si>
    <t>Sum of Annual Income (k$)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</si>
</sst>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quot;$&quot;#,##0"/>
    <numFmt numFmtId="165" formatCode="#,##0.000"/>
    <numFmt numFmtId="166" formatCode="0.0%"/>
  </numFmts>
  <fonts count="19">
    <font>
      <sz val="12"/>
      <color theme="1"/>
      <name val="Calibri"/>
      <family val="2"/>
      <scheme val="minor"/>
    </font>
    <font>
      <sz val="12"/>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2"/>
      <color rgb="FF006100"/>
      <name val="Calibri"/>
      <family val="2"/>
      <scheme val="minor"/>
    </font>
    <font>
      <sz val="12"/>
      <color rgb="FF9C0006"/>
      <name val="Calibri"/>
      <family val="2"/>
      <scheme val="minor"/>
    </font>
    <font>
      <sz val="12"/>
      <color rgb="FF9C5700"/>
      <name val="Calibri"/>
      <family val="2"/>
      <scheme val="minor"/>
    </font>
    <font>
      <sz val="12"/>
      <color rgb="FF3F3F76"/>
      <name val="Calibri"/>
      <family val="2"/>
      <scheme val="minor"/>
    </font>
    <font>
      <b/>
      <sz val="12"/>
      <color rgb="FF3F3F3F"/>
      <name val="Calibri"/>
      <family val="2"/>
      <scheme val="minor"/>
    </font>
    <font>
      <b/>
      <sz val="12"/>
      <color rgb="FFFA7D00"/>
      <name val="Calibri"/>
      <family val="2"/>
      <scheme val="minor"/>
    </font>
    <font>
      <sz val="12"/>
      <color rgb="FFFA7D00"/>
      <name val="Calibri"/>
      <family val="2"/>
      <scheme val="minor"/>
    </font>
    <font>
      <b/>
      <sz val="12"/>
      <color theme="0"/>
      <name val="Calibri"/>
      <family val="2"/>
      <scheme val="minor"/>
    </font>
    <font>
      <sz val="12"/>
      <color rgb="FFFF0000"/>
      <name val="Calibri"/>
      <family val="2"/>
      <scheme val="minor"/>
    </font>
    <font>
      <i/>
      <sz val="12"/>
      <color rgb="FF7F7F7F"/>
      <name val="Calibri"/>
      <family val="2"/>
      <scheme val="minor"/>
    </font>
    <font>
      <b/>
      <sz val="12"/>
      <color theme="1"/>
      <name val="Calibri"/>
      <family val="2"/>
      <scheme val="minor"/>
    </font>
    <font>
      <sz val="12"/>
      <color theme="0"/>
      <name val="Calibri"/>
      <family val="2"/>
      <scheme val="minor"/>
    </font>
    <font>
      <sz val="12"/>
      <color theme="1"/>
      <name val=".AppleSystemUIFont"/>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13">
    <xf numFmtId="0" fontId="0" fillId="0" borderId="0" xfId="0"/>
    <xf numFmtId="10" fontId="0" fillId="0" borderId="0" xfId="0" applyNumberFormat="1"/>
    <xf numFmtId="2" fontId="0" fillId="0" borderId="0" xfId="0" applyNumberFormat="1"/>
    <xf numFmtId="1" fontId="0" fillId="0" borderId="0" xfId="0" applyNumberFormat="1"/>
    <xf numFmtId="0" fontId="16" fillId="0" borderId="0" xfId="0" applyFont="1"/>
    <xf numFmtId="164" fontId="0" fillId="0" borderId="0" xfId="0" applyNumberFormat="1"/>
    <xf numFmtId="165" fontId="0" fillId="0" borderId="0" xfId="0" applyNumberFormat="1"/>
    <xf numFmtId="3" fontId="0" fillId="0" borderId="0" xfId="0" applyNumberFormat="1"/>
    <xf numFmtId="0" fontId="0" fillId="0" borderId="0" xfId="0" applyNumberFormat="1"/>
    <xf numFmtId="0" fontId="0" fillId="0" borderId="0" xfId="0" pivotButton="1"/>
    <xf numFmtId="0" fontId="0" fillId="0" borderId="0" xfId="0" applyAlignment="1">
      <alignment horizontal="left"/>
    </xf>
    <xf numFmtId="166" fontId="0" fillId="0" borderId="0" xfId="0" applyNumberFormat="1"/>
    <xf numFmtId="164" fontId="18" fillId="0" borderId="0" xfId="0" applyNumberFormat="1" applyFont="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9">
    <dxf>
      <numFmt numFmtId="1" formatCode="0"/>
    </dxf>
    <dxf>
      <numFmt numFmtId="14" formatCode="0.00%"/>
    </dxf>
    <dxf>
      <numFmt numFmtId="166" formatCode="0.0%"/>
    </dxf>
    <dxf>
      <numFmt numFmtId="1" formatCode="0"/>
    </dxf>
    <dxf>
      <numFmt numFmtId="167" formatCode="&quot;$&quot;#,##0.00"/>
    </dxf>
    <dxf>
      <numFmt numFmtId="164" formatCode="&quot;$&quot;#,##0"/>
    </dxf>
    <dxf>
      <numFmt numFmtId="164" formatCode="&quot;$&quot;#,##0"/>
    </dxf>
    <dxf>
      <numFmt numFmtId="1" formatCode="0"/>
    </dxf>
    <dxf>
      <numFmt numFmtId="14" formatCode="0.00%"/>
    </dxf>
    <dxf>
      <numFmt numFmtId="166" formatCode="0.0%"/>
    </dxf>
    <dxf>
      <numFmt numFmtId="1" formatCode="0"/>
    </dxf>
    <dxf>
      <numFmt numFmtId="164" formatCode="&quot;$&quot;#,##0"/>
    </dxf>
    <dxf>
      <numFmt numFmtId="164" formatCode="&quot;$&quot;#,##0"/>
    </dxf>
    <dxf>
      <numFmt numFmtId="167" formatCode="&quot;$&quot;#,##0.00"/>
    </dxf>
    <dxf>
      <numFmt numFmtId="1" formatCode="0"/>
    </dxf>
    <dxf>
      <numFmt numFmtId="166" formatCode="0.0%"/>
    </dxf>
    <dxf>
      <numFmt numFmtId="14" formatCode="0.00%"/>
    </dxf>
    <dxf>
      <numFmt numFmtId="1" formatCode="0"/>
    </dxf>
    <dxf>
      <numFmt numFmtId="1" formatCode="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microsoft.com/office/2007/relationships/slicerCache" Target="slicerCaches/slicerCache2.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calcChain" Target="calcChain.xml"/><Relationship Id="rId5" Type="http://schemas.openxmlformats.org/officeDocument/2006/relationships/pivotCacheDefinition" Target="pivotCache/pivotCacheDefinition1.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Gender</a:t>
            </a:r>
            <a:r>
              <a:rPr lang="en-US" baseline="0"/>
              <a:t> Distribution</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spPr>
            <a:effectLst>
              <a:glow>
                <a:schemeClr val="accent1">
                  <a:alpha val="40000"/>
                </a:schemeClr>
              </a:glow>
              <a:outerShdw blurRad="50800" dist="50800" dir="5400000" sx="1000" sy="1000" algn="ctr" rotWithShape="0">
                <a:srgbClr val="000000"/>
              </a:outerShdw>
            </a:effectLst>
          </c:spPr>
          <c:dPt>
            <c:idx val="0"/>
            <c:bubble3D val="0"/>
            <c:spPr>
              <a:solidFill>
                <a:schemeClr val="accent1"/>
              </a:solidFill>
              <a:ln w="19050">
                <a:solidFill>
                  <a:schemeClr val="lt1"/>
                </a:solidFill>
              </a:ln>
              <a:effectLst>
                <a:glow>
                  <a:schemeClr val="accent1">
                    <a:alpha val="40000"/>
                  </a:schemeClr>
                </a:glow>
                <a:outerShdw blurRad="50800" dist="50800" dir="5400000" sx="1000" sy="1000" algn="ctr" rotWithShape="0">
                  <a:srgbClr val="000000"/>
                </a:outerShdw>
              </a:effectLst>
            </c:spPr>
            <c:extLst>
              <c:ext xmlns:c16="http://schemas.microsoft.com/office/drawing/2014/chart" uri="{C3380CC4-5D6E-409C-BE32-E72D297353CC}">
                <c16:uniqueId val="{00000002-A046-9942-8202-C63B62E1E795}"/>
              </c:ext>
            </c:extLst>
          </c:dPt>
          <c:dPt>
            <c:idx val="1"/>
            <c:bubble3D val="0"/>
            <c:spPr>
              <a:solidFill>
                <a:schemeClr val="accent2"/>
              </a:solidFill>
              <a:ln w="19050">
                <a:solidFill>
                  <a:schemeClr val="lt1"/>
                </a:solidFill>
              </a:ln>
              <a:effectLst>
                <a:glow>
                  <a:schemeClr val="accent1">
                    <a:alpha val="40000"/>
                  </a:schemeClr>
                </a:glow>
                <a:outerShdw blurRad="50800" dist="50800" dir="5400000" sx="1000" sy="1000" algn="ctr" rotWithShape="0">
                  <a:srgbClr val="000000"/>
                </a:outerShdw>
              </a:effectLst>
            </c:spPr>
            <c:extLst>
              <c:ext xmlns:c16="http://schemas.microsoft.com/office/drawing/2014/chart" uri="{C3380CC4-5D6E-409C-BE32-E72D297353CC}">
                <c16:uniqueId val="{00000001-A046-9942-8202-C63B62E1E795}"/>
              </c:ext>
            </c:extLst>
          </c:dPt>
          <c:dLbls>
            <c:dLbl>
              <c:idx val="0"/>
              <c:layout>
                <c:manualLayout>
                  <c:x val="-0.1370731627296588"/>
                  <c:y val="5.8178404782735491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A046-9942-8202-C63B62E1E795}"/>
                </c:ext>
              </c:extLst>
            </c:dLbl>
            <c:dLbl>
              <c:idx val="1"/>
              <c:layout>
                <c:manualLayout>
                  <c:x val="9.385192475940507E-2"/>
                  <c:y val="-8.3547317002041405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A046-9942-8202-C63B62E1E795}"/>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s>
          <c:cat>
            <c:strRef>
              <c:f>Wrok_Sheet1!$D$5:$D$6</c:f>
              <c:strCache>
                <c:ptCount val="2"/>
                <c:pt idx="0">
                  <c:v>%Male </c:v>
                </c:pt>
                <c:pt idx="1">
                  <c:v>%Female</c:v>
                </c:pt>
              </c:strCache>
            </c:strRef>
          </c:cat>
          <c:val>
            <c:numRef>
              <c:f>Wrok_Sheet1!$E$5:$E$6</c:f>
              <c:numCache>
                <c:formatCode>0.00%</c:formatCode>
                <c:ptCount val="2"/>
                <c:pt idx="0">
                  <c:v>0.44</c:v>
                </c:pt>
                <c:pt idx="1">
                  <c:v>0.56000000000000005</c:v>
                </c:pt>
              </c:numCache>
            </c:numRef>
          </c:val>
          <c:extLst>
            <c:ext xmlns:c16="http://schemas.microsoft.com/office/drawing/2014/chart" uri="{C3380CC4-5D6E-409C-BE32-E72D297353CC}">
              <c16:uniqueId val="{00000000-A046-9942-8202-C63B62E1E795}"/>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Average</a:t>
            </a:r>
            <a:r>
              <a:rPr lang="en-US" baseline="0"/>
              <a:t> Spending Chart</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0"/>
          <c:order val="0"/>
          <c:spPr>
            <a:solidFill>
              <a:schemeClr val="accent2"/>
            </a:solidFill>
            <a:ln>
              <a:noFill/>
            </a:ln>
            <a:effectLst/>
          </c:spPr>
          <c:invertIfNegative val="0"/>
          <c:dPt>
            <c:idx val="0"/>
            <c:invertIfNegative val="0"/>
            <c:bubble3D val="0"/>
            <c:spPr>
              <a:solidFill>
                <a:schemeClr val="accent1"/>
              </a:solidFill>
              <a:ln>
                <a:noFill/>
              </a:ln>
              <a:effectLst/>
            </c:spPr>
            <c:extLst>
              <c:ext xmlns:c16="http://schemas.microsoft.com/office/drawing/2014/chart" uri="{C3380CC4-5D6E-409C-BE32-E72D297353CC}">
                <c16:uniqueId val="{00000002-31BA-8442-8453-25D3B482E697}"/>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Wrok_Sheet1!$D$8:$D$9</c:f>
              <c:strCache>
                <c:ptCount val="2"/>
                <c:pt idx="0">
                  <c:v>Male </c:v>
                </c:pt>
                <c:pt idx="1">
                  <c:v>Female </c:v>
                </c:pt>
              </c:strCache>
            </c:strRef>
          </c:cat>
          <c:val>
            <c:numRef>
              <c:f>Wrok_Sheet1!$E$8:$E$9</c:f>
              <c:numCache>
                <c:formatCode>0</c:formatCode>
                <c:ptCount val="2"/>
                <c:pt idx="0" formatCode="General">
                  <c:v>49</c:v>
                </c:pt>
                <c:pt idx="1">
                  <c:v>52</c:v>
                </c:pt>
              </c:numCache>
            </c:numRef>
          </c:val>
          <c:extLst>
            <c:ext xmlns:c16="http://schemas.microsoft.com/office/drawing/2014/chart" uri="{C3380CC4-5D6E-409C-BE32-E72D297353CC}">
              <c16:uniqueId val="{00000000-31BA-8442-8453-25D3B482E697}"/>
            </c:ext>
          </c:extLst>
        </c:ser>
        <c:dLbls>
          <c:showLegendKey val="0"/>
          <c:showVal val="0"/>
          <c:showCatName val="0"/>
          <c:showSerName val="0"/>
          <c:showPercent val="0"/>
          <c:showBubbleSize val="0"/>
        </c:dLbls>
        <c:gapWidth val="182"/>
        <c:axId val="1228559824"/>
        <c:axId val="1154160560"/>
      </c:barChart>
      <c:catAx>
        <c:axId val="122855982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54160560"/>
        <c:crosses val="autoZero"/>
        <c:auto val="1"/>
        <c:lblAlgn val="ctr"/>
        <c:lblOffset val="100"/>
        <c:noMultiLvlLbl val="0"/>
      </c:catAx>
      <c:valAx>
        <c:axId val="115416056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2855982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Average Annual Income</a:t>
            </a:r>
            <a:r>
              <a:rPr lang="en-US" baseline="0"/>
              <a:t>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1"/>
            </a:solidFill>
            <a:ln>
              <a:noFill/>
            </a:ln>
            <a:effectLst/>
          </c:spPr>
          <c:invertIfNegative val="0"/>
          <c:dPt>
            <c:idx val="1"/>
            <c:invertIfNegative val="0"/>
            <c:bubble3D val="0"/>
            <c:spPr>
              <a:solidFill>
                <a:schemeClr val="accent2"/>
              </a:solidFill>
              <a:ln>
                <a:noFill/>
              </a:ln>
              <a:effectLst/>
            </c:spPr>
            <c:extLst>
              <c:ext xmlns:c16="http://schemas.microsoft.com/office/drawing/2014/chart" uri="{C3380CC4-5D6E-409C-BE32-E72D297353CC}">
                <c16:uniqueId val="{00000001-EE2E-1042-8270-7C7B6F952D8D}"/>
              </c:ext>
            </c:extLst>
          </c:dPt>
          <c:cat>
            <c:strRef>
              <c:f>Wrok_Sheet1!$D$12:$D$13</c:f>
              <c:strCache>
                <c:ptCount val="2"/>
                <c:pt idx="0">
                  <c:v>Male </c:v>
                </c:pt>
                <c:pt idx="1">
                  <c:v>Female</c:v>
                </c:pt>
              </c:strCache>
            </c:strRef>
          </c:cat>
          <c:val>
            <c:numRef>
              <c:f>Wrok_Sheet1!$E$12:$E$13</c:f>
              <c:numCache>
                <c:formatCode>#,##0</c:formatCode>
                <c:ptCount val="2"/>
                <c:pt idx="0">
                  <c:v>62227</c:v>
                </c:pt>
                <c:pt idx="1">
                  <c:v>59250</c:v>
                </c:pt>
              </c:numCache>
            </c:numRef>
          </c:val>
          <c:extLst>
            <c:ext xmlns:c16="http://schemas.microsoft.com/office/drawing/2014/chart" uri="{C3380CC4-5D6E-409C-BE32-E72D297353CC}">
              <c16:uniqueId val="{00000000-EE2E-1042-8270-7C7B6F952D8D}"/>
            </c:ext>
          </c:extLst>
        </c:ser>
        <c:dLbls>
          <c:showLegendKey val="0"/>
          <c:showVal val="0"/>
          <c:showCatName val="0"/>
          <c:showSerName val="0"/>
          <c:showPercent val="0"/>
          <c:showBubbleSize val="0"/>
        </c:dLbls>
        <c:gapWidth val="219"/>
        <c:overlap val="-27"/>
        <c:axId val="1242050416"/>
        <c:axId val="1209667392"/>
      </c:barChart>
      <c:catAx>
        <c:axId val="12420504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09667392"/>
        <c:crosses val="autoZero"/>
        <c:auto val="1"/>
        <c:lblAlgn val="ctr"/>
        <c:lblOffset val="100"/>
        <c:noMultiLvlLbl val="0"/>
      </c:catAx>
      <c:valAx>
        <c:axId val="120966739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4205041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ln>
                  <a:noFill/>
                </a:ln>
                <a:solidFill>
                  <a:schemeClr val="tx1"/>
                </a:solidFill>
                <a:latin typeface="+mn-lt"/>
                <a:ea typeface="+mn-ea"/>
                <a:cs typeface="+mn-cs"/>
              </a:defRPr>
            </a:pPr>
            <a:r>
              <a:rPr lang="en-US"/>
              <a:t>Age Distribution</a:t>
            </a:r>
          </a:p>
        </c:rich>
      </c:tx>
      <c:overlay val="0"/>
      <c:spPr>
        <a:noFill/>
        <a:ln>
          <a:noFill/>
        </a:ln>
        <a:effectLst/>
      </c:spPr>
      <c:txPr>
        <a:bodyPr rot="0" spcFirstLastPara="1" vertOverflow="ellipsis" vert="horz" wrap="square" anchor="ctr" anchorCtr="1"/>
        <a:lstStyle/>
        <a:p>
          <a:pPr>
            <a:defRPr sz="1400" b="0" i="0" u="none" strike="noStrike" kern="1200" spc="0" baseline="0">
              <a:ln>
                <a:noFill/>
              </a:ln>
              <a:solidFill>
                <a:schemeClr val="tx1"/>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pivotFmt>
      <c:pivotFmt>
        <c:idx val="2"/>
        <c:spPr>
          <a:solidFill>
            <a:schemeClr val="accent1"/>
          </a:solidFill>
          <a:ln w="19050">
            <a:solidFill>
              <a:schemeClr val="lt1"/>
            </a:solidFill>
          </a:ln>
          <a:effectLst/>
        </c:spPr>
        <c:marker>
          <c:symbol val="none"/>
        </c:marker>
      </c:pivotFmt>
    </c:pivotFmts>
    <c:plotArea>
      <c:layout/>
      <c:pieChart>
        <c:varyColors val="1"/>
        <c:ser>
          <c:idx val="0"/>
          <c:order val="0"/>
          <c:tx>
            <c:v>Series1</c:v>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7AB6-1946-9407-54EE32FABCA5}"/>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7AB6-1946-9407-54EE32FABCA5}"/>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7AB6-1946-9407-54EE32FABCA5}"/>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7AB6-1946-9407-54EE32FABCA5}"/>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7AB6-1946-9407-54EE32FABCA5}"/>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7AB6-1946-9407-54EE32FABCA5}"/>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6"/>
              <c:pt idx="0">
                <c:v>18-27</c:v>
              </c:pt>
              <c:pt idx="1">
                <c:v>28-37</c:v>
              </c:pt>
              <c:pt idx="2">
                <c:v>38-47</c:v>
              </c:pt>
              <c:pt idx="3">
                <c:v>48-57</c:v>
              </c:pt>
              <c:pt idx="4">
                <c:v>58-67</c:v>
              </c:pt>
              <c:pt idx="5">
                <c:v>68-77</c:v>
              </c:pt>
            </c:strLit>
          </c:cat>
          <c:val>
            <c:numLit>
              <c:formatCode>General</c:formatCode>
              <c:ptCount val="6"/>
              <c:pt idx="0">
                <c:v>0.21428571428571427</c:v>
              </c:pt>
              <c:pt idx="1">
                <c:v>0.3392857142857143</c:v>
              </c:pt>
              <c:pt idx="2">
                <c:v>0.19642857142857142</c:v>
              </c:pt>
              <c:pt idx="3">
                <c:v>0.16964285714285715</c:v>
              </c:pt>
              <c:pt idx="4">
                <c:v>6.25E-2</c:v>
              </c:pt>
              <c:pt idx="5">
                <c:v>1.7857142857142856E-2</c:v>
              </c:pt>
            </c:numLit>
          </c:val>
          <c:extLst>
            <c:ext xmlns:c16="http://schemas.microsoft.com/office/drawing/2014/chart" uri="{C3380CC4-5D6E-409C-BE32-E72D297353CC}">
              <c16:uniqueId val="{00000000-AF2E-8A4C-9AC2-AF2ED1BDD375}"/>
            </c:ext>
          </c:extLst>
        </c:ser>
        <c:ser>
          <c:idx val="1"/>
          <c:order val="1"/>
          <c:tx>
            <c:v>Series2</c:v>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D-7AB6-1946-9407-54EE32FABCA5}"/>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F-7AB6-1946-9407-54EE32FABCA5}"/>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11-7AB6-1946-9407-54EE32FABCA5}"/>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13-7AB6-1946-9407-54EE32FABCA5}"/>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15-7AB6-1946-9407-54EE32FABCA5}"/>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17-7AB6-1946-9407-54EE32FABCA5}"/>
              </c:ext>
            </c:extLst>
          </c:dPt>
          <c:cat>
            <c:strLit>
              <c:ptCount val="6"/>
              <c:pt idx="0">
                <c:v>18-27</c:v>
              </c:pt>
              <c:pt idx="1">
                <c:v>28-37</c:v>
              </c:pt>
              <c:pt idx="2">
                <c:v>38-47</c:v>
              </c:pt>
              <c:pt idx="3">
                <c:v>48-57</c:v>
              </c:pt>
              <c:pt idx="4">
                <c:v>58-67</c:v>
              </c:pt>
              <c:pt idx="5">
                <c:v>68-77</c:v>
              </c:pt>
            </c:strLit>
          </c:cat>
          <c:val>
            <c:numLit>
              <c:formatCode>General</c:formatCode>
              <c:ptCount val="6"/>
              <c:pt idx="0">
                <c:v>0.25</c:v>
              </c:pt>
              <c:pt idx="1">
                <c:v>0.26136363636363635</c:v>
              </c:pt>
              <c:pt idx="2">
                <c:v>0.15909090909090909</c:v>
              </c:pt>
              <c:pt idx="3">
                <c:v>0.13636363636363635</c:v>
              </c:pt>
              <c:pt idx="4">
                <c:v>0.14772727272727273</c:v>
              </c:pt>
              <c:pt idx="5">
                <c:v>4.5454545454545456E-2</c:v>
              </c:pt>
            </c:numLit>
          </c:val>
          <c:extLst>
            <c:ext xmlns:c16="http://schemas.microsoft.com/office/drawing/2014/chart" uri="{C3380CC4-5D6E-409C-BE32-E72D297353CC}">
              <c16:uniqueId val="{0000000F-AF2E-8A4C-9AC2-AF2ED1BDD375}"/>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ln>
                <a:noFill/>
              </a:ln>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ln>
            <a:noFill/>
          </a:ln>
          <a:solidFill>
            <a:schemeClr val="tx1"/>
          </a:solidFill>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Gender</a:t>
            </a:r>
            <a:r>
              <a:rPr lang="en-US" baseline="0"/>
              <a:t> Distribution</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spPr>
            <a:effectLst>
              <a:glow>
                <a:schemeClr val="accent1">
                  <a:alpha val="40000"/>
                </a:schemeClr>
              </a:glow>
              <a:outerShdw blurRad="50800" dist="50800" dir="5400000" sx="1000" sy="1000" algn="ctr" rotWithShape="0">
                <a:srgbClr val="000000"/>
              </a:outerShdw>
            </a:effectLst>
          </c:spPr>
          <c:dPt>
            <c:idx val="0"/>
            <c:bubble3D val="0"/>
            <c:spPr>
              <a:solidFill>
                <a:schemeClr val="accent1"/>
              </a:solidFill>
              <a:ln w="19050">
                <a:solidFill>
                  <a:schemeClr val="lt1"/>
                </a:solidFill>
              </a:ln>
              <a:effectLst>
                <a:glow>
                  <a:schemeClr val="accent1">
                    <a:alpha val="40000"/>
                  </a:schemeClr>
                </a:glow>
                <a:outerShdw blurRad="50800" dist="50800" dir="5400000" sx="1000" sy="1000" algn="ctr" rotWithShape="0">
                  <a:srgbClr val="000000"/>
                </a:outerShdw>
              </a:effectLst>
            </c:spPr>
            <c:extLst>
              <c:ext xmlns:c16="http://schemas.microsoft.com/office/drawing/2014/chart" uri="{C3380CC4-5D6E-409C-BE32-E72D297353CC}">
                <c16:uniqueId val="{00000001-A7D0-0940-A197-BCFB61FC1F33}"/>
              </c:ext>
            </c:extLst>
          </c:dPt>
          <c:dPt>
            <c:idx val="1"/>
            <c:bubble3D val="0"/>
            <c:spPr>
              <a:solidFill>
                <a:schemeClr val="accent2"/>
              </a:solidFill>
              <a:ln w="19050">
                <a:solidFill>
                  <a:schemeClr val="lt1"/>
                </a:solidFill>
              </a:ln>
              <a:effectLst>
                <a:glow>
                  <a:schemeClr val="accent1">
                    <a:alpha val="40000"/>
                  </a:schemeClr>
                </a:glow>
                <a:outerShdw blurRad="50800" dist="50800" dir="5400000" sx="1000" sy="1000" algn="ctr" rotWithShape="0">
                  <a:srgbClr val="000000"/>
                </a:outerShdw>
              </a:effectLst>
            </c:spPr>
            <c:extLst>
              <c:ext xmlns:c16="http://schemas.microsoft.com/office/drawing/2014/chart" uri="{C3380CC4-5D6E-409C-BE32-E72D297353CC}">
                <c16:uniqueId val="{00000003-A7D0-0940-A197-BCFB61FC1F33}"/>
              </c:ext>
            </c:extLst>
          </c:dPt>
          <c:dLbls>
            <c:dLbl>
              <c:idx val="0"/>
              <c:layout>
                <c:manualLayout>
                  <c:x val="-0.1370731627296588"/>
                  <c:y val="5.8178404782735491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A7D0-0940-A197-BCFB61FC1F33}"/>
                </c:ext>
              </c:extLst>
            </c:dLbl>
            <c:dLbl>
              <c:idx val="1"/>
              <c:layout>
                <c:manualLayout>
                  <c:x val="9.385192475940507E-2"/>
                  <c:y val="-8.3547317002041405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A7D0-0940-A197-BCFB61FC1F33}"/>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s>
          <c:cat>
            <c:strRef>
              <c:f>Wrok_Sheet1!$D$5:$D$6</c:f>
              <c:strCache>
                <c:ptCount val="2"/>
                <c:pt idx="0">
                  <c:v>%Male </c:v>
                </c:pt>
                <c:pt idx="1">
                  <c:v>%Female</c:v>
                </c:pt>
              </c:strCache>
            </c:strRef>
          </c:cat>
          <c:val>
            <c:numRef>
              <c:f>Wrok_Sheet1!$E$5:$E$6</c:f>
              <c:numCache>
                <c:formatCode>0.00%</c:formatCode>
                <c:ptCount val="2"/>
                <c:pt idx="0">
                  <c:v>0.44</c:v>
                </c:pt>
                <c:pt idx="1">
                  <c:v>0.56000000000000005</c:v>
                </c:pt>
              </c:numCache>
            </c:numRef>
          </c:val>
          <c:extLst>
            <c:ext xmlns:c16="http://schemas.microsoft.com/office/drawing/2014/chart" uri="{C3380CC4-5D6E-409C-BE32-E72D297353CC}">
              <c16:uniqueId val="{00000004-A7D0-0940-A197-BCFB61FC1F33}"/>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Average</a:t>
            </a:r>
            <a:r>
              <a:rPr lang="en-US" baseline="0"/>
              <a:t> Spending Chart</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0"/>
          <c:order val="0"/>
          <c:spPr>
            <a:solidFill>
              <a:schemeClr val="accent2"/>
            </a:solidFill>
            <a:ln>
              <a:noFill/>
            </a:ln>
            <a:effectLst/>
          </c:spPr>
          <c:invertIfNegative val="0"/>
          <c:dPt>
            <c:idx val="0"/>
            <c:invertIfNegative val="0"/>
            <c:bubble3D val="0"/>
            <c:spPr>
              <a:solidFill>
                <a:schemeClr val="accent1"/>
              </a:solidFill>
              <a:ln>
                <a:noFill/>
              </a:ln>
              <a:effectLst/>
            </c:spPr>
            <c:extLst>
              <c:ext xmlns:c16="http://schemas.microsoft.com/office/drawing/2014/chart" uri="{C3380CC4-5D6E-409C-BE32-E72D297353CC}">
                <c16:uniqueId val="{00000001-2451-F34D-9D8B-E04151675E1E}"/>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Wrok_Sheet1!$D$8:$D$9</c:f>
              <c:strCache>
                <c:ptCount val="2"/>
                <c:pt idx="0">
                  <c:v>Male </c:v>
                </c:pt>
                <c:pt idx="1">
                  <c:v>Female </c:v>
                </c:pt>
              </c:strCache>
            </c:strRef>
          </c:cat>
          <c:val>
            <c:numRef>
              <c:f>Wrok_Sheet1!$E$8:$E$9</c:f>
              <c:numCache>
                <c:formatCode>0</c:formatCode>
                <c:ptCount val="2"/>
                <c:pt idx="0" formatCode="General">
                  <c:v>49</c:v>
                </c:pt>
                <c:pt idx="1">
                  <c:v>52</c:v>
                </c:pt>
              </c:numCache>
            </c:numRef>
          </c:val>
          <c:extLst>
            <c:ext xmlns:c16="http://schemas.microsoft.com/office/drawing/2014/chart" uri="{C3380CC4-5D6E-409C-BE32-E72D297353CC}">
              <c16:uniqueId val="{00000002-2451-F34D-9D8B-E04151675E1E}"/>
            </c:ext>
          </c:extLst>
        </c:ser>
        <c:dLbls>
          <c:showLegendKey val="0"/>
          <c:showVal val="0"/>
          <c:showCatName val="0"/>
          <c:showSerName val="0"/>
          <c:showPercent val="0"/>
          <c:showBubbleSize val="0"/>
        </c:dLbls>
        <c:gapWidth val="182"/>
        <c:axId val="1228559824"/>
        <c:axId val="1154160560"/>
      </c:barChart>
      <c:catAx>
        <c:axId val="122855982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54160560"/>
        <c:crosses val="autoZero"/>
        <c:auto val="1"/>
        <c:lblAlgn val="ctr"/>
        <c:lblOffset val="100"/>
        <c:noMultiLvlLbl val="0"/>
      </c:catAx>
      <c:valAx>
        <c:axId val="115416056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2855982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Average Annual Income</a:t>
            </a:r>
            <a:r>
              <a:rPr lang="en-US" baseline="0"/>
              <a:t>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1"/>
            </a:solidFill>
            <a:ln>
              <a:noFill/>
            </a:ln>
            <a:effectLst/>
          </c:spPr>
          <c:invertIfNegative val="0"/>
          <c:dPt>
            <c:idx val="1"/>
            <c:invertIfNegative val="0"/>
            <c:bubble3D val="0"/>
            <c:spPr>
              <a:solidFill>
                <a:schemeClr val="accent2"/>
              </a:solidFill>
              <a:ln>
                <a:noFill/>
              </a:ln>
              <a:effectLst/>
            </c:spPr>
            <c:extLst>
              <c:ext xmlns:c16="http://schemas.microsoft.com/office/drawing/2014/chart" uri="{C3380CC4-5D6E-409C-BE32-E72D297353CC}">
                <c16:uniqueId val="{00000001-1F91-F24B-9F3D-668D31C42671}"/>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Wrok_Sheet1!$D$12:$D$13</c:f>
              <c:strCache>
                <c:ptCount val="2"/>
                <c:pt idx="0">
                  <c:v>Male </c:v>
                </c:pt>
                <c:pt idx="1">
                  <c:v>Female</c:v>
                </c:pt>
              </c:strCache>
            </c:strRef>
          </c:cat>
          <c:val>
            <c:numRef>
              <c:f>Wrok_Sheet1!$E$12:$E$13</c:f>
              <c:numCache>
                <c:formatCode>#,##0</c:formatCode>
                <c:ptCount val="2"/>
                <c:pt idx="0">
                  <c:v>62227</c:v>
                </c:pt>
                <c:pt idx="1">
                  <c:v>59250</c:v>
                </c:pt>
              </c:numCache>
            </c:numRef>
          </c:val>
          <c:extLst>
            <c:ext xmlns:c16="http://schemas.microsoft.com/office/drawing/2014/chart" uri="{C3380CC4-5D6E-409C-BE32-E72D297353CC}">
              <c16:uniqueId val="{00000002-1F91-F24B-9F3D-668D31C42671}"/>
            </c:ext>
          </c:extLst>
        </c:ser>
        <c:dLbls>
          <c:showLegendKey val="0"/>
          <c:showVal val="0"/>
          <c:showCatName val="0"/>
          <c:showSerName val="0"/>
          <c:showPercent val="0"/>
          <c:showBubbleSize val="0"/>
        </c:dLbls>
        <c:gapWidth val="219"/>
        <c:overlap val="-27"/>
        <c:axId val="1242050416"/>
        <c:axId val="1209667392"/>
      </c:barChart>
      <c:catAx>
        <c:axId val="12420504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09667392"/>
        <c:crosses val="autoZero"/>
        <c:auto val="1"/>
        <c:lblAlgn val="ctr"/>
        <c:lblOffset val="100"/>
        <c:noMultiLvlLbl val="0"/>
      </c:catAx>
      <c:valAx>
        <c:axId val="120966739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4205041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[Mall_Customers.xlsm]Work-Sheet!PivotTable10</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Average Spending Score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'Work-Sheet'!$F$17</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'Work-Sheet'!$E$18:$E$24</c:f>
              <c:strCache>
                <c:ptCount val="6"/>
                <c:pt idx="0">
                  <c:v>18-27</c:v>
                </c:pt>
                <c:pt idx="1">
                  <c:v>28-37</c:v>
                </c:pt>
                <c:pt idx="2">
                  <c:v>38-47</c:v>
                </c:pt>
                <c:pt idx="3">
                  <c:v>48-57</c:v>
                </c:pt>
                <c:pt idx="4">
                  <c:v>58-67</c:v>
                </c:pt>
                <c:pt idx="5">
                  <c:v>68-77</c:v>
                </c:pt>
              </c:strCache>
            </c:strRef>
          </c:cat>
          <c:val>
            <c:numRef>
              <c:f>'Work-Sheet'!$F$18:$F$24</c:f>
              <c:numCache>
                <c:formatCode>0</c:formatCode>
                <c:ptCount val="6"/>
                <c:pt idx="0">
                  <c:v>55.630434782608695</c:v>
                </c:pt>
                <c:pt idx="1">
                  <c:v>61.590163934426229</c:v>
                </c:pt>
                <c:pt idx="2">
                  <c:v>41.333333333333336</c:v>
                </c:pt>
                <c:pt idx="3">
                  <c:v>39.161290322580648</c:v>
                </c:pt>
                <c:pt idx="4">
                  <c:v>35.950000000000003</c:v>
                </c:pt>
                <c:pt idx="5">
                  <c:v>50.5</c:v>
                </c:pt>
              </c:numCache>
            </c:numRef>
          </c:val>
          <c:extLst>
            <c:ext xmlns:c16="http://schemas.microsoft.com/office/drawing/2014/chart" uri="{C3380CC4-5D6E-409C-BE32-E72D297353CC}">
              <c16:uniqueId val="{00000000-2AE2-A843-A57A-6A0F831BCFB7}"/>
            </c:ext>
          </c:extLst>
        </c:ser>
        <c:dLbls>
          <c:showLegendKey val="0"/>
          <c:showVal val="0"/>
          <c:showCatName val="0"/>
          <c:showSerName val="0"/>
          <c:showPercent val="0"/>
          <c:showBubbleSize val="0"/>
        </c:dLbls>
        <c:gapWidth val="182"/>
        <c:axId val="585173696"/>
        <c:axId val="585175424"/>
      </c:barChart>
      <c:catAx>
        <c:axId val="58517369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85175424"/>
        <c:crosses val="autoZero"/>
        <c:auto val="1"/>
        <c:lblAlgn val="ctr"/>
        <c:lblOffset val="100"/>
        <c:noMultiLvlLbl val="0"/>
      </c:catAx>
      <c:valAx>
        <c:axId val="585175424"/>
        <c:scaling>
          <c:orientation val="minMax"/>
        </c:scaling>
        <c:delete val="0"/>
        <c:axPos val="b"/>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8517369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[Mall_Customers.xlsm]Work-Sheet!PivotTable11</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Age</a:t>
            </a:r>
            <a:r>
              <a:rPr lang="en-US" baseline="0"/>
              <a:t> Distribution</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marker>
          <c:symbol val="none"/>
        </c:marker>
      </c:pivotFmt>
      <c:pivotFmt>
        <c:idx val="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pivotFmt>
      <c:pivotFmt>
        <c:idx val="16"/>
        <c:spPr>
          <a:solidFill>
            <a:schemeClr val="accent1"/>
          </a:solidFill>
          <a:ln w="19050">
            <a:solidFill>
              <a:schemeClr val="lt1"/>
            </a:solidFill>
          </a:ln>
          <a:effectLst/>
        </c:spPr>
      </c:pivotFmt>
      <c:pivotFmt>
        <c:idx val="1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1"/>
          </a:solidFill>
          <a:ln w="19050">
            <a:solidFill>
              <a:schemeClr val="lt1"/>
            </a:solidFill>
          </a:ln>
          <a:effectLst/>
        </c:spPr>
      </c:pivotFmt>
      <c:pivotFmt>
        <c:idx val="19"/>
        <c:spPr>
          <a:solidFill>
            <a:schemeClr val="accent1"/>
          </a:solidFill>
          <a:ln w="19050">
            <a:solidFill>
              <a:schemeClr val="lt1"/>
            </a:solidFill>
          </a:ln>
          <a:effectLst/>
        </c:spPr>
      </c:pivotFmt>
      <c:pivotFmt>
        <c:idx val="20"/>
        <c:spPr>
          <a:solidFill>
            <a:schemeClr val="accent1"/>
          </a:solidFill>
          <a:ln w="19050">
            <a:solidFill>
              <a:schemeClr val="lt1"/>
            </a:solidFill>
          </a:ln>
          <a:effectLst/>
        </c:spPr>
      </c:pivotFmt>
      <c:pivotFmt>
        <c:idx val="21"/>
        <c:spPr>
          <a:solidFill>
            <a:schemeClr val="accent1"/>
          </a:solidFill>
          <a:ln w="19050">
            <a:solidFill>
              <a:schemeClr val="lt1"/>
            </a:solidFill>
          </a:ln>
          <a:effectLst/>
        </c:spPr>
      </c:pivotFmt>
      <c:pivotFmt>
        <c:idx val="22"/>
        <c:spPr>
          <a:solidFill>
            <a:schemeClr val="accent1"/>
          </a:solidFill>
          <a:ln w="19050">
            <a:solidFill>
              <a:schemeClr val="lt1"/>
            </a:solidFill>
          </a:ln>
          <a:effectLst/>
        </c:spPr>
      </c:pivotFmt>
      <c:pivotFmt>
        <c:idx val="23"/>
        <c:spPr>
          <a:solidFill>
            <a:schemeClr val="accent1"/>
          </a:solidFill>
          <a:ln w="19050">
            <a:solidFill>
              <a:schemeClr val="lt1"/>
            </a:solidFill>
          </a:ln>
          <a:effectLst/>
        </c:spPr>
      </c:pivotFmt>
      <c:pivotFmt>
        <c:idx val="2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5"/>
        <c:spPr>
          <a:solidFill>
            <a:schemeClr val="accent1"/>
          </a:solidFill>
          <a:ln w="19050">
            <a:solidFill>
              <a:schemeClr val="lt1"/>
            </a:solidFill>
          </a:ln>
          <a:effectLst/>
        </c:spPr>
      </c:pivotFmt>
      <c:pivotFmt>
        <c:idx val="26"/>
        <c:spPr>
          <a:solidFill>
            <a:schemeClr val="accent1"/>
          </a:solidFill>
          <a:ln w="19050">
            <a:solidFill>
              <a:schemeClr val="lt1"/>
            </a:solidFill>
          </a:ln>
          <a:effectLst/>
        </c:spPr>
      </c:pivotFmt>
      <c:pivotFmt>
        <c:idx val="27"/>
        <c:spPr>
          <a:solidFill>
            <a:schemeClr val="accent1"/>
          </a:solidFill>
          <a:ln w="19050">
            <a:solidFill>
              <a:schemeClr val="lt1"/>
            </a:solidFill>
          </a:ln>
          <a:effectLst/>
        </c:spPr>
      </c:pivotFmt>
      <c:pivotFmt>
        <c:idx val="28"/>
        <c:spPr>
          <a:solidFill>
            <a:schemeClr val="accent1"/>
          </a:solidFill>
          <a:ln w="19050">
            <a:solidFill>
              <a:schemeClr val="lt1"/>
            </a:solidFill>
          </a:ln>
          <a:effectLst/>
        </c:spPr>
      </c:pivotFmt>
      <c:pivotFmt>
        <c:idx val="29"/>
        <c:spPr>
          <a:solidFill>
            <a:schemeClr val="accent1"/>
          </a:solidFill>
          <a:ln w="19050">
            <a:solidFill>
              <a:schemeClr val="lt1"/>
            </a:solidFill>
          </a:ln>
          <a:effectLst/>
        </c:spPr>
      </c:pivotFmt>
      <c:pivotFmt>
        <c:idx val="30"/>
        <c:spPr>
          <a:solidFill>
            <a:schemeClr val="accent1"/>
          </a:solidFill>
          <a:ln w="19050">
            <a:solidFill>
              <a:schemeClr val="lt1"/>
            </a:solidFill>
          </a:ln>
          <a:effectLst/>
        </c:spPr>
      </c:pivotFmt>
    </c:pivotFmts>
    <c:plotArea>
      <c:layout/>
      <c:pieChart>
        <c:varyColors val="1"/>
        <c:ser>
          <c:idx val="0"/>
          <c:order val="0"/>
          <c:tx>
            <c:strRef>
              <c:f>'Work-Sheet'!$F$1:$F$2</c:f>
              <c:strCache>
                <c:ptCount val="1"/>
                <c:pt idx="0">
                  <c:v>Female</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3E32-AC4E-BA67-91CB354D8EC0}"/>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3E32-AC4E-BA67-91CB354D8EC0}"/>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3E32-AC4E-BA67-91CB354D8EC0}"/>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3E32-AC4E-BA67-91CB354D8EC0}"/>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3E32-AC4E-BA67-91CB354D8EC0}"/>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3E32-AC4E-BA67-91CB354D8EC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'Work-Sheet'!$E$3:$E$9</c:f>
              <c:strCache>
                <c:ptCount val="6"/>
                <c:pt idx="0">
                  <c:v>18-27</c:v>
                </c:pt>
                <c:pt idx="1">
                  <c:v>28-37</c:v>
                </c:pt>
                <c:pt idx="2">
                  <c:v>38-47</c:v>
                </c:pt>
                <c:pt idx="3">
                  <c:v>48-57</c:v>
                </c:pt>
                <c:pt idx="4">
                  <c:v>58-67</c:v>
                </c:pt>
                <c:pt idx="5">
                  <c:v>68-77</c:v>
                </c:pt>
              </c:strCache>
            </c:strRef>
          </c:cat>
          <c:val>
            <c:numRef>
              <c:f>'Work-Sheet'!$F$3:$F$9</c:f>
              <c:numCache>
                <c:formatCode>0.0%</c:formatCode>
                <c:ptCount val="6"/>
                <c:pt idx="0">
                  <c:v>0.21428571428571427</c:v>
                </c:pt>
                <c:pt idx="1">
                  <c:v>0.3392857142857143</c:v>
                </c:pt>
                <c:pt idx="2">
                  <c:v>0.19642857142857142</c:v>
                </c:pt>
                <c:pt idx="3">
                  <c:v>0.16964285714285715</c:v>
                </c:pt>
                <c:pt idx="4">
                  <c:v>6.25E-2</c:v>
                </c:pt>
                <c:pt idx="5">
                  <c:v>1.7857142857142856E-2</c:v>
                </c:pt>
              </c:numCache>
            </c:numRef>
          </c:val>
          <c:extLst>
            <c:ext xmlns:c16="http://schemas.microsoft.com/office/drawing/2014/chart" uri="{C3380CC4-5D6E-409C-BE32-E72D297353CC}">
              <c16:uniqueId val="{0000000C-3E32-AC4E-BA67-91CB354D8EC0}"/>
            </c:ext>
          </c:extLst>
        </c:ser>
        <c:ser>
          <c:idx val="1"/>
          <c:order val="1"/>
          <c:tx>
            <c:strRef>
              <c:f>'Work-Sheet'!$G$1:$G$2</c:f>
              <c:strCache>
                <c:ptCount val="1"/>
                <c:pt idx="0">
                  <c:v>Male</c:v>
                </c:pt>
              </c:strCache>
            </c:strRef>
          </c:tx>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'Work-Sheet'!$E$3:$E$9</c:f>
              <c:strCache>
                <c:ptCount val="6"/>
                <c:pt idx="0">
                  <c:v>18-27</c:v>
                </c:pt>
                <c:pt idx="1">
                  <c:v>28-37</c:v>
                </c:pt>
                <c:pt idx="2">
                  <c:v>38-47</c:v>
                </c:pt>
                <c:pt idx="3">
                  <c:v>48-57</c:v>
                </c:pt>
                <c:pt idx="4">
                  <c:v>58-67</c:v>
                </c:pt>
                <c:pt idx="5">
                  <c:v>68-77</c:v>
                </c:pt>
              </c:strCache>
            </c:strRef>
          </c:cat>
          <c:val>
            <c:numRef>
              <c:f>'Work-Sheet'!$G$3:$G$9</c:f>
              <c:numCache>
                <c:formatCode>0.0%</c:formatCode>
                <c:ptCount val="6"/>
                <c:pt idx="0">
                  <c:v>0.25</c:v>
                </c:pt>
                <c:pt idx="1">
                  <c:v>0.26136363636363635</c:v>
                </c:pt>
                <c:pt idx="2">
                  <c:v>0.15909090909090909</c:v>
                </c:pt>
                <c:pt idx="3">
                  <c:v>0.13636363636363635</c:v>
                </c:pt>
                <c:pt idx="4">
                  <c:v>0.14772727272727273</c:v>
                </c:pt>
                <c:pt idx="5">
                  <c:v>4.5454545454545456E-2</c:v>
                </c:pt>
              </c:numCache>
            </c:numRef>
          </c:val>
          <c:extLst>
            <c:ext xmlns:c16="http://schemas.microsoft.com/office/drawing/2014/chart" uri="{C3380CC4-5D6E-409C-BE32-E72D297353CC}">
              <c16:uniqueId val="{0000000C-D3C0-6A42-AF02-098031B2FB7A}"/>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[Mall_Customers.xlsm]Work-Sheet!Average Annual Income</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Average Annual Score</a:t>
            </a:r>
          </a:p>
        </c:rich>
      </c:tx>
      <c:overlay val="0"/>
      <c:spPr>
        <a:noFill/>
        <a:ln>
          <a:noFill/>
        </a:ln>
        <a:effectLst/>
      </c:sp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
        <c:marker>
          <c:symbol val="none"/>
        </c:marker>
      </c:pivotFmt>
    </c:pivotFmts>
    <c:plotArea>
      <c:layout/>
      <c:barChart>
        <c:barDir val="bar"/>
        <c:grouping val="clustered"/>
        <c:varyColors val="0"/>
        <c:ser>
          <c:idx val="0"/>
          <c:order val="0"/>
          <c:tx>
            <c:strRef>
              <c:f>'Work-Sheet'!$F$34:$F$35</c:f>
              <c:strCache>
                <c:ptCount val="1"/>
                <c:pt idx="0">
                  <c:v>Female</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'Work-Sheet'!$E$36:$E$42</c:f>
              <c:strCache>
                <c:ptCount val="6"/>
                <c:pt idx="0">
                  <c:v>18-27</c:v>
                </c:pt>
                <c:pt idx="1">
                  <c:v>28-37</c:v>
                </c:pt>
                <c:pt idx="2">
                  <c:v>38-47</c:v>
                </c:pt>
                <c:pt idx="3">
                  <c:v>48-57</c:v>
                </c:pt>
                <c:pt idx="4">
                  <c:v>58-67</c:v>
                </c:pt>
                <c:pt idx="5">
                  <c:v>68-77</c:v>
                </c:pt>
              </c:strCache>
            </c:strRef>
          </c:cat>
          <c:val>
            <c:numRef>
              <c:f>'Work-Sheet'!$F$36:$F$42</c:f>
              <c:numCache>
                <c:formatCode>"$"#,##0</c:formatCode>
                <c:ptCount val="6"/>
                <c:pt idx="0">
                  <c:v>1103</c:v>
                </c:pt>
                <c:pt idx="1">
                  <c:v>2495</c:v>
                </c:pt>
                <c:pt idx="2">
                  <c:v>1509</c:v>
                </c:pt>
                <c:pt idx="3">
                  <c:v>1089</c:v>
                </c:pt>
                <c:pt idx="4">
                  <c:v>333</c:v>
                </c:pt>
                <c:pt idx="5">
                  <c:v>107</c:v>
                </c:pt>
              </c:numCache>
            </c:numRef>
          </c:val>
          <c:extLst>
            <c:ext xmlns:c16="http://schemas.microsoft.com/office/drawing/2014/chart" uri="{C3380CC4-5D6E-409C-BE32-E72D297353CC}">
              <c16:uniqueId val="{00000004-370D-694D-979F-93345BE5C9E9}"/>
            </c:ext>
          </c:extLst>
        </c:ser>
        <c:ser>
          <c:idx val="1"/>
          <c:order val="1"/>
          <c:tx>
            <c:strRef>
              <c:f>'Work-Sheet'!$G$34:$G$35</c:f>
              <c:strCache>
                <c:ptCount val="1"/>
                <c:pt idx="0">
                  <c:v>Male</c:v>
                </c:pt>
              </c:strCache>
            </c:strRef>
          </c:tx>
          <c:invertIfNegative val="0"/>
          <c:cat>
            <c:strRef>
              <c:f>'Work-Sheet'!$E$36:$E$42</c:f>
              <c:strCache>
                <c:ptCount val="6"/>
                <c:pt idx="0">
                  <c:v>18-27</c:v>
                </c:pt>
                <c:pt idx="1">
                  <c:v>28-37</c:v>
                </c:pt>
                <c:pt idx="2">
                  <c:v>38-47</c:v>
                </c:pt>
                <c:pt idx="3">
                  <c:v>48-57</c:v>
                </c:pt>
                <c:pt idx="4">
                  <c:v>58-67</c:v>
                </c:pt>
                <c:pt idx="5">
                  <c:v>68-77</c:v>
                </c:pt>
              </c:strCache>
            </c:strRef>
          </c:cat>
          <c:val>
            <c:numRef>
              <c:f>'Work-Sheet'!$G$36:$G$42</c:f>
              <c:numCache>
                <c:formatCode>"$"#,##0</c:formatCode>
                <c:ptCount val="6"/>
                <c:pt idx="0">
                  <c:v>1128</c:v>
                </c:pt>
                <c:pt idx="1">
                  <c:v>1780</c:v>
                </c:pt>
                <c:pt idx="2">
                  <c:v>1002</c:v>
                </c:pt>
                <c:pt idx="3">
                  <c:v>657</c:v>
                </c:pt>
                <c:pt idx="4">
                  <c:v>707</c:v>
                </c:pt>
                <c:pt idx="5">
                  <c:v>202</c:v>
                </c:pt>
              </c:numCache>
            </c:numRef>
          </c:val>
          <c:extLst>
            <c:ext xmlns:c16="http://schemas.microsoft.com/office/drawing/2014/chart" uri="{C3380CC4-5D6E-409C-BE32-E72D297353CC}">
              <c16:uniqueId val="{00000000-BCE4-AE48-B52A-8B5ADBBD749A}"/>
            </c:ext>
          </c:extLst>
        </c:ser>
        <c:dLbls>
          <c:showLegendKey val="0"/>
          <c:showVal val="0"/>
          <c:showCatName val="0"/>
          <c:showSerName val="0"/>
          <c:showPercent val="0"/>
          <c:showBubbleSize val="0"/>
        </c:dLbls>
        <c:gapWidth val="182"/>
        <c:axId val="585173696"/>
        <c:axId val="585175424"/>
      </c:barChart>
      <c:catAx>
        <c:axId val="58517369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85175424"/>
        <c:crosses val="autoZero"/>
        <c:auto val="1"/>
        <c:lblAlgn val="ctr"/>
        <c:lblOffset val="100"/>
        <c:noMultiLvlLbl val="0"/>
      </c:catAx>
      <c:valAx>
        <c:axId val="585175424"/>
        <c:scaling>
          <c:orientation val="minMax"/>
        </c:scaling>
        <c:delete val="0"/>
        <c:axPos val="b"/>
        <c:majorGridlines>
          <c:spPr>
            <a:ln w="9525" cap="flat" cmpd="sng" algn="ctr">
              <a:solidFill>
                <a:schemeClr val="tx1">
                  <a:lumMod val="15000"/>
                  <a:lumOff val="85000"/>
                </a:schemeClr>
              </a:solidFill>
              <a:round/>
            </a:ln>
            <a:effectLst/>
          </c:spPr>
        </c:majorGridlines>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85173696"/>
        <c:crosses val="autoZero"/>
        <c:crossBetween val="between"/>
      </c:valAx>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chart>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4.xml"/></Relationships>
</file>

<file path=xl/drawings/_rels/drawing3.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 Id="rId6" Type="http://schemas.openxmlformats.org/officeDocument/2006/relationships/chart" Target="../charts/chart10.xml"/><Relationship Id="rId5" Type="http://schemas.openxmlformats.org/officeDocument/2006/relationships/chart" Target="../charts/chart9.xml"/><Relationship Id="rId4" Type="http://schemas.openxmlformats.org/officeDocument/2006/relationships/chart" Target="../charts/chart8.xml"/></Relationships>
</file>

<file path=xl/drawings/drawing1.xml><?xml version="1.0" encoding="utf-8"?>
<xdr:wsDr xmlns:xdr="http://schemas.openxmlformats.org/drawingml/2006/spreadsheetDrawing" xmlns:a="http://schemas.openxmlformats.org/drawingml/2006/main">
  <xdr:twoCellAnchor>
    <xdr:from>
      <xdr:col>7</xdr:col>
      <xdr:colOff>647700</xdr:colOff>
      <xdr:row>0</xdr:row>
      <xdr:rowOff>76200</xdr:rowOff>
    </xdr:from>
    <xdr:to>
      <xdr:col>12</xdr:col>
      <xdr:colOff>1092200</xdr:colOff>
      <xdr:row>13</xdr:row>
      <xdr:rowOff>177800</xdr:rowOff>
    </xdr:to>
    <xdr:graphicFrame macro="">
      <xdr:nvGraphicFramePr>
        <xdr:cNvPr id="3" name="Chart 2">
          <a:extLst>
            <a:ext uri="{FF2B5EF4-FFF2-40B4-BE49-F238E27FC236}">
              <a16:creationId xmlns:a16="http://schemas.microsoft.com/office/drawing/2014/main" id="{2EC1BA4C-632A-784F-9873-37A32091F52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622300</xdr:colOff>
      <xdr:row>15</xdr:row>
      <xdr:rowOff>12700</xdr:rowOff>
    </xdr:from>
    <xdr:to>
      <xdr:col>12</xdr:col>
      <xdr:colOff>1066800</xdr:colOff>
      <xdr:row>28</xdr:row>
      <xdr:rowOff>114300</xdr:rowOff>
    </xdr:to>
    <xdr:graphicFrame macro="">
      <xdr:nvGraphicFramePr>
        <xdr:cNvPr id="5" name="Chart 4">
          <a:extLst>
            <a:ext uri="{FF2B5EF4-FFF2-40B4-BE49-F238E27FC236}">
              <a16:creationId xmlns:a16="http://schemas.microsoft.com/office/drawing/2014/main" id="{671297CD-6000-5740-AB6C-30066588F14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641350</xdr:colOff>
      <xdr:row>30</xdr:row>
      <xdr:rowOff>165100</xdr:rowOff>
    </xdr:from>
    <xdr:to>
      <xdr:col>12</xdr:col>
      <xdr:colOff>1085850</xdr:colOff>
      <xdr:row>44</xdr:row>
      <xdr:rowOff>63500</xdr:rowOff>
    </xdr:to>
    <xdr:graphicFrame macro="">
      <xdr:nvGraphicFramePr>
        <xdr:cNvPr id="8" name="Chart 7">
          <a:extLst>
            <a:ext uri="{FF2B5EF4-FFF2-40B4-BE49-F238E27FC236}">
              <a16:creationId xmlns:a16="http://schemas.microsoft.com/office/drawing/2014/main" id="{3E1862D5-9866-E149-9D58-671C7E784F9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27</xdr:col>
      <xdr:colOff>222250</xdr:colOff>
      <xdr:row>0</xdr:row>
      <xdr:rowOff>127000</xdr:rowOff>
    </xdr:from>
    <xdr:to>
      <xdr:col>33</xdr:col>
      <xdr:colOff>222250</xdr:colOff>
      <xdr:row>14</xdr:row>
      <xdr:rowOff>25400</xdr:rowOff>
    </xdr:to>
    <xdr:graphicFrame macro="">
      <xdr:nvGraphicFramePr>
        <xdr:cNvPr id="8" name="Chart 7">
          <a:extLst>
            <a:ext uri="{FF2B5EF4-FFF2-40B4-BE49-F238E27FC236}">
              <a16:creationId xmlns:a16="http://schemas.microsoft.com/office/drawing/2014/main" id="{D1232EC0-D7E3-0B41-9B50-BD2CDC3BDB8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8</xdr:col>
      <xdr:colOff>482600</xdr:colOff>
      <xdr:row>1</xdr:row>
      <xdr:rowOff>50800</xdr:rowOff>
    </xdr:from>
    <xdr:to>
      <xdr:col>9</xdr:col>
      <xdr:colOff>495300</xdr:colOff>
      <xdr:row>14</xdr:row>
      <xdr:rowOff>28572</xdr:rowOff>
    </xdr:to>
    <mc:AlternateContent xmlns:mc="http://schemas.openxmlformats.org/markup-compatibility/2006" xmlns:a14="http://schemas.microsoft.com/office/drawing/2010/main">
      <mc:Choice Requires="a14">
        <xdr:graphicFrame macro="">
          <xdr:nvGraphicFramePr>
            <xdr:cNvPr id="22" name="Gender">
              <a:extLst>
                <a:ext uri="{FF2B5EF4-FFF2-40B4-BE49-F238E27FC236}">
                  <a16:creationId xmlns:a16="http://schemas.microsoft.com/office/drawing/2014/main" id="{6CB789C3-B8D4-FA4A-B164-DAFAB5E2CFD8}"/>
                </a:ext>
              </a:extLst>
            </xdr:cNvPr>
            <xdr:cNvGraphicFramePr/>
          </xdr:nvGraphicFramePr>
          <xdr:xfrm>
            <a:off x="0" y="0"/>
            <a:ext cx="0" cy="0"/>
          </xdr:xfrm>
          <a:graphic>
            <a:graphicData uri="http://schemas.microsoft.com/office/drawing/2010/slicer">
              <sle:slicer xmlns:sle="http://schemas.microsoft.com/office/drawing/2010/slicer" name="Gender"/>
            </a:graphicData>
          </a:graphic>
        </xdr:graphicFrame>
      </mc:Choice>
      <mc:Fallback xmlns="">
        <xdr:sp macro="" textlink="">
          <xdr:nvSpPr>
            <xdr:cNvPr id="0" name=""/>
            <xdr:cNvSpPr>
              <a:spLocks noTextEdit="1"/>
            </xdr:cNvSpPr>
          </xdr:nvSpPr>
          <xdr:spPr>
            <a:xfrm>
              <a:off x="11201400" y="254000"/>
              <a:ext cx="1828800" cy="261937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838200</xdr:colOff>
      <xdr:row>0</xdr:row>
      <xdr:rowOff>101600</xdr:rowOff>
    </xdr:from>
    <xdr:to>
      <xdr:col>10</xdr:col>
      <xdr:colOff>469900</xdr:colOff>
      <xdr:row>13</xdr:row>
      <xdr:rowOff>79372</xdr:rowOff>
    </xdr:to>
    <mc:AlternateContent xmlns:mc="http://schemas.openxmlformats.org/markup-compatibility/2006" xmlns:a14="http://schemas.microsoft.com/office/drawing/2010/main">
      <mc:Choice Requires="a14">
        <xdr:graphicFrame macro="">
          <xdr:nvGraphicFramePr>
            <xdr:cNvPr id="23" name="Age">
              <a:extLst>
                <a:ext uri="{FF2B5EF4-FFF2-40B4-BE49-F238E27FC236}">
                  <a16:creationId xmlns:a16="http://schemas.microsoft.com/office/drawing/2014/main" id="{955A194F-2684-CB4E-97BD-0F0C4577E3A7}"/>
                </a:ext>
              </a:extLst>
            </xdr:cNvPr>
            <xdr:cNvGraphicFramePr/>
          </xdr:nvGraphicFramePr>
          <xdr:xfrm>
            <a:off x="0" y="0"/>
            <a:ext cx="0" cy="0"/>
          </xdr:xfrm>
          <a:graphic>
            <a:graphicData uri="http://schemas.microsoft.com/office/drawing/2010/slicer">
              <sle:slicer xmlns:sle="http://schemas.microsoft.com/office/drawing/2010/slicer" name="Age"/>
            </a:graphicData>
          </a:graphic>
        </xdr:graphicFrame>
      </mc:Choice>
      <mc:Fallback xmlns="">
        <xdr:sp macro="" textlink="">
          <xdr:nvSpPr>
            <xdr:cNvPr id="0" name=""/>
            <xdr:cNvSpPr>
              <a:spLocks noTextEdit="1"/>
            </xdr:cNvSpPr>
          </xdr:nvSpPr>
          <xdr:spPr>
            <a:xfrm>
              <a:off x="13373100" y="101600"/>
              <a:ext cx="1828800" cy="261937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1</xdr:col>
      <xdr:colOff>12700</xdr:colOff>
      <xdr:row>1</xdr:row>
      <xdr:rowOff>12700</xdr:rowOff>
    </xdr:from>
    <xdr:to>
      <xdr:col>6</xdr:col>
      <xdr:colOff>457200</xdr:colOff>
      <xdr:row>14</xdr:row>
      <xdr:rowOff>114300</xdr:rowOff>
    </xdr:to>
    <xdr:graphicFrame macro="">
      <xdr:nvGraphicFramePr>
        <xdr:cNvPr id="5" name="Chart 4">
          <a:extLst>
            <a:ext uri="{FF2B5EF4-FFF2-40B4-BE49-F238E27FC236}">
              <a16:creationId xmlns:a16="http://schemas.microsoft.com/office/drawing/2014/main" id="{294A3B03-E758-234D-958D-7F06AFC8C53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16</xdr:row>
      <xdr:rowOff>0</xdr:rowOff>
    </xdr:from>
    <xdr:to>
      <xdr:col>6</xdr:col>
      <xdr:colOff>444500</xdr:colOff>
      <xdr:row>29</xdr:row>
      <xdr:rowOff>101600</xdr:rowOff>
    </xdr:to>
    <xdr:graphicFrame macro="">
      <xdr:nvGraphicFramePr>
        <xdr:cNvPr id="6" name="Chart 5">
          <a:extLst>
            <a:ext uri="{FF2B5EF4-FFF2-40B4-BE49-F238E27FC236}">
              <a16:creationId xmlns:a16="http://schemas.microsoft.com/office/drawing/2014/main" id="{0E72E078-CE20-1746-B996-40BC04EDC9D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19050</xdr:colOff>
      <xdr:row>31</xdr:row>
      <xdr:rowOff>152400</xdr:rowOff>
    </xdr:from>
    <xdr:to>
      <xdr:col>6</xdr:col>
      <xdr:colOff>463550</xdr:colOff>
      <xdr:row>45</xdr:row>
      <xdr:rowOff>50800</xdr:rowOff>
    </xdr:to>
    <xdr:graphicFrame macro="">
      <xdr:nvGraphicFramePr>
        <xdr:cNvPr id="7" name="Chart 6">
          <a:extLst>
            <a:ext uri="{FF2B5EF4-FFF2-40B4-BE49-F238E27FC236}">
              <a16:creationId xmlns:a16="http://schemas.microsoft.com/office/drawing/2014/main" id="{D5EC8345-A707-6D43-8851-ED46EBDAE9D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101600</xdr:colOff>
      <xdr:row>16</xdr:row>
      <xdr:rowOff>0</xdr:rowOff>
    </xdr:from>
    <xdr:to>
      <xdr:col>13</xdr:col>
      <xdr:colOff>647700</xdr:colOff>
      <xdr:row>30</xdr:row>
      <xdr:rowOff>177800</xdr:rowOff>
    </xdr:to>
    <xdr:graphicFrame macro="">
      <xdr:nvGraphicFramePr>
        <xdr:cNvPr id="9" name="Chart 8">
          <a:extLst>
            <a:ext uri="{FF2B5EF4-FFF2-40B4-BE49-F238E27FC236}">
              <a16:creationId xmlns:a16="http://schemas.microsoft.com/office/drawing/2014/main" id="{AE7700E9-B6F0-1142-8395-2999B488000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13</xdr:col>
      <xdr:colOff>609600</xdr:colOff>
      <xdr:row>1</xdr:row>
      <xdr:rowOff>50800</xdr:rowOff>
    </xdr:from>
    <xdr:to>
      <xdr:col>15</xdr:col>
      <xdr:colOff>787400</xdr:colOff>
      <xdr:row>14</xdr:row>
      <xdr:rowOff>28572</xdr:rowOff>
    </xdr:to>
    <mc:AlternateContent xmlns:mc="http://schemas.openxmlformats.org/markup-compatibility/2006" xmlns:a14="http://schemas.microsoft.com/office/drawing/2010/main">
      <mc:Choice Requires="a14">
        <xdr:graphicFrame macro="">
          <xdr:nvGraphicFramePr>
            <xdr:cNvPr id="10" name="Gender 1">
              <a:extLst>
                <a:ext uri="{FF2B5EF4-FFF2-40B4-BE49-F238E27FC236}">
                  <a16:creationId xmlns:a16="http://schemas.microsoft.com/office/drawing/2014/main" id="{4361689A-8584-EB42-A6E0-4002FE30B2FF}"/>
                </a:ext>
              </a:extLst>
            </xdr:cNvPr>
            <xdr:cNvGraphicFramePr/>
          </xdr:nvGraphicFramePr>
          <xdr:xfrm>
            <a:off x="0" y="0"/>
            <a:ext cx="0" cy="0"/>
          </xdr:xfrm>
          <a:graphic>
            <a:graphicData uri="http://schemas.microsoft.com/office/drawing/2010/slicer">
              <sle:slicer xmlns:sle="http://schemas.microsoft.com/office/drawing/2010/slicer" name="Gender 1"/>
            </a:graphicData>
          </a:graphic>
        </xdr:graphicFrame>
      </mc:Choice>
      <mc:Fallback xmlns="">
        <xdr:sp macro="" textlink="">
          <xdr:nvSpPr>
            <xdr:cNvPr id="0" name=""/>
            <xdr:cNvSpPr>
              <a:spLocks noTextEdit="1"/>
            </xdr:cNvSpPr>
          </xdr:nvSpPr>
          <xdr:spPr>
            <a:xfrm>
              <a:off x="11341100" y="254000"/>
              <a:ext cx="1828800" cy="261937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254000</xdr:colOff>
      <xdr:row>0</xdr:row>
      <xdr:rowOff>177800</xdr:rowOff>
    </xdr:from>
    <xdr:to>
      <xdr:col>18</xdr:col>
      <xdr:colOff>431800</xdr:colOff>
      <xdr:row>13</xdr:row>
      <xdr:rowOff>155572</xdr:rowOff>
    </xdr:to>
    <mc:AlternateContent xmlns:mc="http://schemas.openxmlformats.org/markup-compatibility/2006" xmlns:a14="http://schemas.microsoft.com/office/drawing/2010/main">
      <mc:Choice Requires="a14">
        <xdr:graphicFrame macro="">
          <xdr:nvGraphicFramePr>
            <xdr:cNvPr id="11" name="Age 1">
              <a:extLst>
                <a:ext uri="{FF2B5EF4-FFF2-40B4-BE49-F238E27FC236}">
                  <a16:creationId xmlns:a16="http://schemas.microsoft.com/office/drawing/2014/main" id="{D9AC37C5-70A7-D643-8CAA-75DEBC581473}"/>
                </a:ext>
              </a:extLst>
            </xdr:cNvPr>
            <xdr:cNvGraphicFramePr/>
          </xdr:nvGraphicFramePr>
          <xdr:xfrm>
            <a:off x="0" y="0"/>
            <a:ext cx="0" cy="0"/>
          </xdr:xfrm>
          <a:graphic>
            <a:graphicData uri="http://schemas.microsoft.com/office/drawing/2010/slicer">
              <sle:slicer xmlns:sle="http://schemas.microsoft.com/office/drawing/2010/slicer" name="Age 1"/>
            </a:graphicData>
          </a:graphic>
        </xdr:graphicFrame>
      </mc:Choice>
      <mc:Fallback xmlns="">
        <xdr:sp macro="" textlink="">
          <xdr:nvSpPr>
            <xdr:cNvPr id="0" name=""/>
            <xdr:cNvSpPr>
              <a:spLocks noTextEdit="1"/>
            </xdr:cNvSpPr>
          </xdr:nvSpPr>
          <xdr:spPr>
            <a:xfrm>
              <a:off x="13462000" y="177800"/>
              <a:ext cx="1828800" cy="261937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7</xdr:col>
      <xdr:colOff>381000</xdr:colOff>
      <xdr:row>2</xdr:row>
      <xdr:rowOff>152400</xdr:rowOff>
    </xdr:from>
    <xdr:to>
      <xdr:col>13</xdr:col>
      <xdr:colOff>0</xdr:colOff>
      <xdr:row>16</xdr:row>
      <xdr:rowOff>50800</xdr:rowOff>
    </xdr:to>
    <xdr:graphicFrame macro="">
      <xdr:nvGraphicFramePr>
        <xdr:cNvPr id="12" name="Chart 11">
          <a:extLst>
            <a:ext uri="{FF2B5EF4-FFF2-40B4-BE49-F238E27FC236}">
              <a16:creationId xmlns:a16="http://schemas.microsoft.com/office/drawing/2014/main" id="{59D267A8-8033-6B4E-B60E-57846B52455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7</xdr:col>
      <xdr:colOff>317500</xdr:colOff>
      <xdr:row>31</xdr:row>
      <xdr:rowOff>177800</xdr:rowOff>
    </xdr:from>
    <xdr:to>
      <xdr:col>15</xdr:col>
      <xdr:colOff>31750</xdr:colOff>
      <xdr:row>51</xdr:row>
      <xdr:rowOff>12700</xdr:rowOff>
    </xdr:to>
    <xdr:graphicFrame macro="">
      <xdr:nvGraphicFramePr>
        <xdr:cNvPr id="13" name="Chart 12">
          <a:extLst>
            <a:ext uri="{FF2B5EF4-FFF2-40B4-BE49-F238E27FC236}">
              <a16:creationId xmlns:a16="http://schemas.microsoft.com/office/drawing/2014/main" id="{6BDCE7D0-B5E2-9E4E-AC3A-3D04DDDACCE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kitha Rajendran" refreshedDate="43513.503565509258" createdVersion="6" refreshedVersion="6" minRefreshableVersion="3" recordCount="200" xr:uid="{00000000-000A-0000-FFFF-FFFF36000000}">
  <cacheSource type="worksheet">
    <worksheetSource ref="A1:D201" sheet="Work-Sheet"/>
  </cacheSource>
  <cacheFields count="4">
    <cacheField name="Gender" numFmtId="0">
      <sharedItems count="2">
        <s v="Male"/>
        <s v="Female"/>
      </sharedItems>
    </cacheField>
    <cacheField name="Age" numFmtId="0">
      <sharedItems containsSemiMixedTypes="0" containsString="0" containsNumber="1" containsInteger="1" minValue="18" maxValue="70" count="51">
        <n v="19"/>
        <n v="21"/>
        <n v="20"/>
        <n v="23"/>
        <n v="31"/>
        <n v="22"/>
        <n v="35"/>
        <n v="64"/>
        <n v="30"/>
        <n v="67"/>
        <n v="58"/>
        <n v="24"/>
        <n v="37"/>
        <n v="52"/>
        <n v="25"/>
        <n v="46"/>
        <n v="54"/>
        <n v="29"/>
        <n v="45"/>
        <n v="40"/>
        <n v="60"/>
        <n v="53"/>
        <n v="18"/>
        <n v="49"/>
        <n v="42"/>
        <n v="36"/>
        <n v="65"/>
        <n v="48"/>
        <n v="50"/>
        <n v="27"/>
        <n v="33"/>
        <n v="59"/>
        <n v="47"/>
        <n v="51"/>
        <n v="69"/>
        <n v="70"/>
        <n v="63"/>
        <n v="43"/>
        <n v="68"/>
        <n v="32"/>
        <n v="26"/>
        <n v="57"/>
        <n v="38"/>
        <n v="55"/>
        <n v="34"/>
        <n v="66"/>
        <n v="39"/>
        <n v="44"/>
        <n v="28"/>
        <n v="56"/>
        <n v="41"/>
      </sharedItems>
      <fieldGroup base="1">
        <rangePr startNum="18" endNum="70" groupInterval="10"/>
        <groupItems count="8">
          <s v="&lt;18"/>
          <s v="18-27"/>
          <s v="28-37"/>
          <s v="38-47"/>
          <s v="48-57"/>
          <s v="58-67"/>
          <s v="68-77"/>
          <s v="&gt;78"/>
        </groupItems>
      </fieldGroup>
    </cacheField>
    <cacheField name="Annual Income (k$)" numFmtId="0">
      <sharedItems containsSemiMixedTypes="0" containsString="0" containsNumber="1" containsInteger="1" minValue="15" maxValue="137"/>
    </cacheField>
    <cacheField name="Spending Score (1-100)" numFmtId="0">
      <sharedItems containsSemiMixedTypes="0" containsString="0" containsNumber="1" containsInteger="1" minValue="1" maxValue="99"/>
    </cacheField>
  </cacheFields>
  <extLst>
    <ext xmlns:x14="http://schemas.microsoft.com/office/spreadsheetml/2009/9/main" uri="{725AE2AE-9491-48be-B2B4-4EB974FC3084}">
      <x14:pivotCacheDefinition pivotCacheId="1497262072"/>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00">
  <r>
    <x v="0"/>
    <x v="0"/>
    <n v="15"/>
    <n v="39"/>
  </r>
  <r>
    <x v="0"/>
    <x v="1"/>
    <n v="15"/>
    <n v="81"/>
  </r>
  <r>
    <x v="1"/>
    <x v="2"/>
    <n v="16"/>
    <n v="6"/>
  </r>
  <r>
    <x v="1"/>
    <x v="3"/>
    <n v="16"/>
    <n v="77"/>
  </r>
  <r>
    <x v="1"/>
    <x v="4"/>
    <n v="17"/>
    <n v="40"/>
  </r>
  <r>
    <x v="1"/>
    <x v="5"/>
    <n v="17"/>
    <n v="76"/>
  </r>
  <r>
    <x v="1"/>
    <x v="6"/>
    <n v="18"/>
    <n v="6"/>
  </r>
  <r>
    <x v="1"/>
    <x v="3"/>
    <n v="18"/>
    <n v="94"/>
  </r>
  <r>
    <x v="0"/>
    <x v="7"/>
    <n v="19"/>
    <n v="3"/>
  </r>
  <r>
    <x v="1"/>
    <x v="8"/>
    <n v="19"/>
    <n v="72"/>
  </r>
  <r>
    <x v="0"/>
    <x v="9"/>
    <n v="19"/>
    <n v="14"/>
  </r>
  <r>
    <x v="1"/>
    <x v="6"/>
    <n v="19"/>
    <n v="99"/>
  </r>
  <r>
    <x v="1"/>
    <x v="10"/>
    <n v="20"/>
    <n v="15"/>
  </r>
  <r>
    <x v="1"/>
    <x v="11"/>
    <n v="20"/>
    <n v="77"/>
  </r>
  <r>
    <x v="0"/>
    <x v="12"/>
    <n v="20"/>
    <n v="13"/>
  </r>
  <r>
    <x v="0"/>
    <x v="5"/>
    <n v="20"/>
    <n v="79"/>
  </r>
  <r>
    <x v="1"/>
    <x v="6"/>
    <n v="21"/>
    <n v="35"/>
  </r>
  <r>
    <x v="0"/>
    <x v="2"/>
    <n v="21"/>
    <n v="66"/>
  </r>
  <r>
    <x v="0"/>
    <x v="13"/>
    <n v="23"/>
    <n v="29"/>
  </r>
  <r>
    <x v="1"/>
    <x v="6"/>
    <n v="23"/>
    <n v="98"/>
  </r>
  <r>
    <x v="0"/>
    <x v="6"/>
    <n v="24"/>
    <n v="35"/>
  </r>
  <r>
    <x v="0"/>
    <x v="14"/>
    <n v="24"/>
    <n v="73"/>
  </r>
  <r>
    <x v="1"/>
    <x v="15"/>
    <n v="25"/>
    <n v="5"/>
  </r>
  <r>
    <x v="0"/>
    <x v="4"/>
    <n v="25"/>
    <n v="73"/>
  </r>
  <r>
    <x v="1"/>
    <x v="16"/>
    <n v="28"/>
    <n v="14"/>
  </r>
  <r>
    <x v="0"/>
    <x v="17"/>
    <n v="28"/>
    <n v="82"/>
  </r>
  <r>
    <x v="1"/>
    <x v="18"/>
    <n v="28"/>
    <n v="32"/>
  </r>
  <r>
    <x v="0"/>
    <x v="6"/>
    <n v="28"/>
    <n v="61"/>
  </r>
  <r>
    <x v="1"/>
    <x v="19"/>
    <n v="29"/>
    <n v="31"/>
  </r>
  <r>
    <x v="1"/>
    <x v="3"/>
    <n v="29"/>
    <n v="87"/>
  </r>
  <r>
    <x v="0"/>
    <x v="20"/>
    <n v="30"/>
    <n v="4"/>
  </r>
  <r>
    <x v="1"/>
    <x v="1"/>
    <n v="30"/>
    <n v="73"/>
  </r>
  <r>
    <x v="0"/>
    <x v="21"/>
    <n v="33"/>
    <n v="4"/>
  </r>
  <r>
    <x v="0"/>
    <x v="22"/>
    <n v="33"/>
    <n v="92"/>
  </r>
  <r>
    <x v="1"/>
    <x v="23"/>
    <n v="33"/>
    <n v="14"/>
  </r>
  <r>
    <x v="1"/>
    <x v="1"/>
    <n v="33"/>
    <n v="81"/>
  </r>
  <r>
    <x v="1"/>
    <x v="24"/>
    <n v="34"/>
    <n v="17"/>
  </r>
  <r>
    <x v="1"/>
    <x v="8"/>
    <n v="34"/>
    <n v="73"/>
  </r>
  <r>
    <x v="1"/>
    <x v="25"/>
    <n v="37"/>
    <n v="26"/>
  </r>
  <r>
    <x v="1"/>
    <x v="2"/>
    <n v="37"/>
    <n v="75"/>
  </r>
  <r>
    <x v="1"/>
    <x v="26"/>
    <n v="38"/>
    <n v="35"/>
  </r>
  <r>
    <x v="0"/>
    <x v="11"/>
    <n v="38"/>
    <n v="92"/>
  </r>
  <r>
    <x v="0"/>
    <x v="27"/>
    <n v="39"/>
    <n v="36"/>
  </r>
  <r>
    <x v="1"/>
    <x v="4"/>
    <n v="39"/>
    <n v="61"/>
  </r>
  <r>
    <x v="1"/>
    <x v="23"/>
    <n v="39"/>
    <n v="28"/>
  </r>
  <r>
    <x v="1"/>
    <x v="11"/>
    <n v="39"/>
    <n v="65"/>
  </r>
  <r>
    <x v="1"/>
    <x v="28"/>
    <n v="40"/>
    <n v="55"/>
  </r>
  <r>
    <x v="1"/>
    <x v="29"/>
    <n v="40"/>
    <n v="47"/>
  </r>
  <r>
    <x v="1"/>
    <x v="17"/>
    <n v="40"/>
    <n v="42"/>
  </r>
  <r>
    <x v="1"/>
    <x v="4"/>
    <n v="40"/>
    <n v="42"/>
  </r>
  <r>
    <x v="1"/>
    <x v="23"/>
    <n v="42"/>
    <n v="52"/>
  </r>
  <r>
    <x v="0"/>
    <x v="30"/>
    <n v="42"/>
    <n v="60"/>
  </r>
  <r>
    <x v="1"/>
    <x v="4"/>
    <n v="43"/>
    <n v="54"/>
  </r>
  <r>
    <x v="0"/>
    <x v="31"/>
    <n v="43"/>
    <n v="60"/>
  </r>
  <r>
    <x v="1"/>
    <x v="28"/>
    <n v="43"/>
    <n v="45"/>
  </r>
  <r>
    <x v="0"/>
    <x v="32"/>
    <n v="43"/>
    <n v="41"/>
  </r>
  <r>
    <x v="1"/>
    <x v="33"/>
    <n v="44"/>
    <n v="50"/>
  </r>
  <r>
    <x v="0"/>
    <x v="34"/>
    <n v="44"/>
    <n v="46"/>
  </r>
  <r>
    <x v="1"/>
    <x v="29"/>
    <n v="46"/>
    <n v="51"/>
  </r>
  <r>
    <x v="0"/>
    <x v="21"/>
    <n v="46"/>
    <n v="46"/>
  </r>
  <r>
    <x v="0"/>
    <x v="35"/>
    <n v="46"/>
    <n v="56"/>
  </r>
  <r>
    <x v="0"/>
    <x v="0"/>
    <n v="46"/>
    <n v="55"/>
  </r>
  <r>
    <x v="1"/>
    <x v="9"/>
    <n v="47"/>
    <n v="52"/>
  </r>
  <r>
    <x v="1"/>
    <x v="16"/>
    <n v="47"/>
    <n v="59"/>
  </r>
  <r>
    <x v="0"/>
    <x v="36"/>
    <n v="48"/>
    <n v="51"/>
  </r>
  <r>
    <x v="0"/>
    <x v="22"/>
    <n v="48"/>
    <n v="59"/>
  </r>
  <r>
    <x v="1"/>
    <x v="37"/>
    <n v="48"/>
    <n v="50"/>
  </r>
  <r>
    <x v="1"/>
    <x v="38"/>
    <n v="48"/>
    <n v="48"/>
  </r>
  <r>
    <x v="0"/>
    <x v="0"/>
    <n v="48"/>
    <n v="59"/>
  </r>
  <r>
    <x v="1"/>
    <x v="39"/>
    <n v="48"/>
    <n v="47"/>
  </r>
  <r>
    <x v="0"/>
    <x v="35"/>
    <n v="49"/>
    <n v="55"/>
  </r>
  <r>
    <x v="1"/>
    <x v="32"/>
    <n v="49"/>
    <n v="42"/>
  </r>
  <r>
    <x v="1"/>
    <x v="20"/>
    <n v="50"/>
    <n v="49"/>
  </r>
  <r>
    <x v="1"/>
    <x v="20"/>
    <n v="50"/>
    <n v="56"/>
  </r>
  <r>
    <x v="0"/>
    <x v="31"/>
    <n v="54"/>
    <n v="47"/>
  </r>
  <r>
    <x v="0"/>
    <x v="40"/>
    <n v="54"/>
    <n v="54"/>
  </r>
  <r>
    <x v="1"/>
    <x v="18"/>
    <n v="54"/>
    <n v="53"/>
  </r>
  <r>
    <x v="0"/>
    <x v="19"/>
    <n v="54"/>
    <n v="48"/>
  </r>
  <r>
    <x v="1"/>
    <x v="3"/>
    <n v="54"/>
    <n v="52"/>
  </r>
  <r>
    <x v="1"/>
    <x v="23"/>
    <n v="54"/>
    <n v="42"/>
  </r>
  <r>
    <x v="0"/>
    <x v="41"/>
    <n v="54"/>
    <n v="51"/>
  </r>
  <r>
    <x v="0"/>
    <x v="42"/>
    <n v="54"/>
    <n v="55"/>
  </r>
  <r>
    <x v="0"/>
    <x v="9"/>
    <n v="54"/>
    <n v="41"/>
  </r>
  <r>
    <x v="1"/>
    <x v="15"/>
    <n v="54"/>
    <n v="44"/>
  </r>
  <r>
    <x v="1"/>
    <x v="1"/>
    <n v="54"/>
    <n v="57"/>
  </r>
  <r>
    <x v="0"/>
    <x v="27"/>
    <n v="54"/>
    <n v="46"/>
  </r>
  <r>
    <x v="1"/>
    <x v="43"/>
    <n v="57"/>
    <n v="58"/>
  </r>
  <r>
    <x v="1"/>
    <x v="5"/>
    <n v="57"/>
    <n v="55"/>
  </r>
  <r>
    <x v="1"/>
    <x v="44"/>
    <n v="58"/>
    <n v="60"/>
  </r>
  <r>
    <x v="1"/>
    <x v="28"/>
    <n v="58"/>
    <n v="46"/>
  </r>
  <r>
    <x v="1"/>
    <x v="38"/>
    <n v="59"/>
    <n v="55"/>
  </r>
  <r>
    <x v="0"/>
    <x v="22"/>
    <n v="59"/>
    <n v="41"/>
  </r>
  <r>
    <x v="0"/>
    <x v="27"/>
    <n v="60"/>
    <n v="49"/>
  </r>
  <r>
    <x v="1"/>
    <x v="19"/>
    <n v="60"/>
    <n v="40"/>
  </r>
  <r>
    <x v="1"/>
    <x v="39"/>
    <n v="60"/>
    <n v="42"/>
  </r>
  <r>
    <x v="0"/>
    <x v="11"/>
    <n v="60"/>
    <n v="52"/>
  </r>
  <r>
    <x v="1"/>
    <x v="32"/>
    <n v="60"/>
    <n v="47"/>
  </r>
  <r>
    <x v="1"/>
    <x v="29"/>
    <n v="60"/>
    <n v="50"/>
  </r>
  <r>
    <x v="0"/>
    <x v="27"/>
    <n v="61"/>
    <n v="42"/>
  </r>
  <r>
    <x v="0"/>
    <x v="2"/>
    <n v="61"/>
    <n v="49"/>
  </r>
  <r>
    <x v="1"/>
    <x v="3"/>
    <n v="62"/>
    <n v="41"/>
  </r>
  <r>
    <x v="1"/>
    <x v="23"/>
    <n v="62"/>
    <n v="48"/>
  </r>
  <r>
    <x v="0"/>
    <x v="9"/>
    <n v="62"/>
    <n v="59"/>
  </r>
  <r>
    <x v="0"/>
    <x v="40"/>
    <n v="62"/>
    <n v="55"/>
  </r>
  <r>
    <x v="0"/>
    <x v="23"/>
    <n v="62"/>
    <n v="56"/>
  </r>
  <r>
    <x v="1"/>
    <x v="1"/>
    <n v="62"/>
    <n v="42"/>
  </r>
  <r>
    <x v="1"/>
    <x v="45"/>
    <n v="63"/>
    <n v="50"/>
  </r>
  <r>
    <x v="0"/>
    <x v="16"/>
    <n v="63"/>
    <n v="46"/>
  </r>
  <r>
    <x v="0"/>
    <x v="38"/>
    <n v="63"/>
    <n v="43"/>
  </r>
  <r>
    <x v="0"/>
    <x v="45"/>
    <n v="63"/>
    <n v="48"/>
  </r>
  <r>
    <x v="0"/>
    <x v="26"/>
    <n v="63"/>
    <n v="52"/>
  </r>
  <r>
    <x v="1"/>
    <x v="0"/>
    <n v="63"/>
    <n v="54"/>
  </r>
  <r>
    <x v="1"/>
    <x v="42"/>
    <n v="64"/>
    <n v="42"/>
  </r>
  <r>
    <x v="0"/>
    <x v="0"/>
    <n v="64"/>
    <n v="46"/>
  </r>
  <r>
    <x v="1"/>
    <x v="22"/>
    <n v="65"/>
    <n v="48"/>
  </r>
  <r>
    <x v="1"/>
    <x v="0"/>
    <n v="65"/>
    <n v="50"/>
  </r>
  <r>
    <x v="1"/>
    <x v="36"/>
    <n v="65"/>
    <n v="43"/>
  </r>
  <r>
    <x v="1"/>
    <x v="23"/>
    <n v="65"/>
    <n v="59"/>
  </r>
  <r>
    <x v="1"/>
    <x v="33"/>
    <n v="67"/>
    <n v="43"/>
  </r>
  <r>
    <x v="1"/>
    <x v="28"/>
    <n v="67"/>
    <n v="57"/>
  </r>
  <r>
    <x v="0"/>
    <x v="29"/>
    <n v="67"/>
    <n v="56"/>
  </r>
  <r>
    <x v="1"/>
    <x v="42"/>
    <n v="67"/>
    <n v="40"/>
  </r>
  <r>
    <x v="1"/>
    <x v="19"/>
    <n v="69"/>
    <n v="58"/>
  </r>
  <r>
    <x v="0"/>
    <x v="46"/>
    <n v="69"/>
    <n v="91"/>
  </r>
  <r>
    <x v="1"/>
    <x v="3"/>
    <n v="70"/>
    <n v="29"/>
  </r>
  <r>
    <x v="1"/>
    <x v="4"/>
    <n v="70"/>
    <n v="77"/>
  </r>
  <r>
    <x v="0"/>
    <x v="37"/>
    <n v="71"/>
    <n v="35"/>
  </r>
  <r>
    <x v="0"/>
    <x v="19"/>
    <n v="71"/>
    <n v="95"/>
  </r>
  <r>
    <x v="0"/>
    <x v="31"/>
    <n v="71"/>
    <n v="11"/>
  </r>
  <r>
    <x v="0"/>
    <x v="42"/>
    <n v="71"/>
    <n v="75"/>
  </r>
  <r>
    <x v="0"/>
    <x v="32"/>
    <n v="71"/>
    <n v="9"/>
  </r>
  <r>
    <x v="0"/>
    <x v="46"/>
    <n v="71"/>
    <n v="75"/>
  </r>
  <r>
    <x v="1"/>
    <x v="14"/>
    <n v="72"/>
    <n v="34"/>
  </r>
  <r>
    <x v="1"/>
    <x v="4"/>
    <n v="72"/>
    <n v="71"/>
  </r>
  <r>
    <x v="0"/>
    <x v="2"/>
    <n v="73"/>
    <n v="5"/>
  </r>
  <r>
    <x v="1"/>
    <x v="17"/>
    <n v="73"/>
    <n v="88"/>
  </r>
  <r>
    <x v="1"/>
    <x v="47"/>
    <n v="73"/>
    <n v="7"/>
  </r>
  <r>
    <x v="0"/>
    <x v="39"/>
    <n v="73"/>
    <n v="73"/>
  </r>
  <r>
    <x v="0"/>
    <x v="0"/>
    <n v="74"/>
    <n v="10"/>
  </r>
  <r>
    <x v="1"/>
    <x v="6"/>
    <n v="74"/>
    <n v="72"/>
  </r>
  <r>
    <x v="1"/>
    <x v="41"/>
    <n v="75"/>
    <n v="5"/>
  </r>
  <r>
    <x v="0"/>
    <x v="39"/>
    <n v="75"/>
    <n v="93"/>
  </r>
  <r>
    <x v="1"/>
    <x v="48"/>
    <n v="76"/>
    <n v="40"/>
  </r>
  <r>
    <x v="1"/>
    <x v="39"/>
    <n v="76"/>
    <n v="87"/>
  </r>
  <r>
    <x v="0"/>
    <x v="14"/>
    <n v="77"/>
    <n v="12"/>
  </r>
  <r>
    <x v="0"/>
    <x v="48"/>
    <n v="77"/>
    <n v="97"/>
  </r>
  <r>
    <x v="0"/>
    <x v="27"/>
    <n v="77"/>
    <n v="36"/>
  </r>
  <r>
    <x v="1"/>
    <x v="39"/>
    <n v="77"/>
    <n v="74"/>
  </r>
  <r>
    <x v="1"/>
    <x v="44"/>
    <n v="78"/>
    <n v="22"/>
  </r>
  <r>
    <x v="0"/>
    <x v="44"/>
    <n v="78"/>
    <n v="90"/>
  </r>
  <r>
    <x v="0"/>
    <x v="37"/>
    <n v="78"/>
    <n v="17"/>
  </r>
  <r>
    <x v="0"/>
    <x v="46"/>
    <n v="78"/>
    <n v="88"/>
  </r>
  <r>
    <x v="1"/>
    <x v="47"/>
    <n v="78"/>
    <n v="20"/>
  </r>
  <r>
    <x v="1"/>
    <x v="42"/>
    <n v="78"/>
    <n v="76"/>
  </r>
  <r>
    <x v="1"/>
    <x v="32"/>
    <n v="78"/>
    <n v="16"/>
  </r>
  <r>
    <x v="1"/>
    <x v="29"/>
    <n v="78"/>
    <n v="89"/>
  </r>
  <r>
    <x v="0"/>
    <x v="12"/>
    <n v="78"/>
    <n v="1"/>
  </r>
  <r>
    <x v="1"/>
    <x v="8"/>
    <n v="78"/>
    <n v="78"/>
  </r>
  <r>
    <x v="0"/>
    <x v="44"/>
    <n v="78"/>
    <n v="1"/>
  </r>
  <r>
    <x v="1"/>
    <x v="8"/>
    <n v="78"/>
    <n v="73"/>
  </r>
  <r>
    <x v="1"/>
    <x v="49"/>
    <n v="79"/>
    <n v="35"/>
  </r>
  <r>
    <x v="1"/>
    <x v="17"/>
    <n v="79"/>
    <n v="83"/>
  </r>
  <r>
    <x v="0"/>
    <x v="0"/>
    <n v="81"/>
    <n v="5"/>
  </r>
  <r>
    <x v="1"/>
    <x v="4"/>
    <n v="81"/>
    <n v="93"/>
  </r>
  <r>
    <x v="0"/>
    <x v="28"/>
    <n v="85"/>
    <n v="26"/>
  </r>
  <r>
    <x v="1"/>
    <x v="25"/>
    <n v="85"/>
    <n v="75"/>
  </r>
  <r>
    <x v="0"/>
    <x v="24"/>
    <n v="86"/>
    <n v="20"/>
  </r>
  <r>
    <x v="1"/>
    <x v="30"/>
    <n v="86"/>
    <n v="95"/>
  </r>
  <r>
    <x v="1"/>
    <x v="25"/>
    <n v="87"/>
    <n v="27"/>
  </r>
  <r>
    <x v="0"/>
    <x v="39"/>
    <n v="87"/>
    <n v="63"/>
  </r>
  <r>
    <x v="0"/>
    <x v="19"/>
    <n v="87"/>
    <n v="13"/>
  </r>
  <r>
    <x v="0"/>
    <x v="48"/>
    <n v="87"/>
    <n v="75"/>
  </r>
  <r>
    <x v="0"/>
    <x v="25"/>
    <n v="87"/>
    <n v="10"/>
  </r>
  <r>
    <x v="0"/>
    <x v="25"/>
    <n v="87"/>
    <n v="92"/>
  </r>
  <r>
    <x v="1"/>
    <x v="13"/>
    <n v="88"/>
    <n v="13"/>
  </r>
  <r>
    <x v="1"/>
    <x v="8"/>
    <n v="88"/>
    <n v="86"/>
  </r>
  <r>
    <x v="0"/>
    <x v="10"/>
    <n v="88"/>
    <n v="15"/>
  </r>
  <r>
    <x v="0"/>
    <x v="29"/>
    <n v="88"/>
    <n v="69"/>
  </r>
  <r>
    <x v="0"/>
    <x v="31"/>
    <n v="93"/>
    <n v="14"/>
  </r>
  <r>
    <x v="0"/>
    <x v="6"/>
    <n v="93"/>
    <n v="90"/>
  </r>
  <r>
    <x v="1"/>
    <x v="12"/>
    <n v="97"/>
    <n v="32"/>
  </r>
  <r>
    <x v="1"/>
    <x v="39"/>
    <n v="97"/>
    <n v="86"/>
  </r>
  <r>
    <x v="0"/>
    <x v="15"/>
    <n v="98"/>
    <n v="15"/>
  </r>
  <r>
    <x v="1"/>
    <x v="17"/>
    <n v="98"/>
    <n v="88"/>
  </r>
  <r>
    <x v="1"/>
    <x v="50"/>
    <n v="99"/>
    <n v="39"/>
  </r>
  <r>
    <x v="0"/>
    <x v="8"/>
    <n v="99"/>
    <n v="97"/>
  </r>
  <r>
    <x v="1"/>
    <x v="16"/>
    <n v="101"/>
    <n v="24"/>
  </r>
  <r>
    <x v="0"/>
    <x v="48"/>
    <n v="101"/>
    <n v="68"/>
  </r>
  <r>
    <x v="1"/>
    <x v="50"/>
    <n v="103"/>
    <n v="17"/>
  </r>
  <r>
    <x v="1"/>
    <x v="25"/>
    <n v="103"/>
    <n v="85"/>
  </r>
  <r>
    <x v="1"/>
    <x v="44"/>
    <n v="103"/>
    <n v="23"/>
  </r>
  <r>
    <x v="1"/>
    <x v="39"/>
    <n v="103"/>
    <n v="69"/>
  </r>
  <r>
    <x v="0"/>
    <x v="30"/>
    <n v="113"/>
    <n v="8"/>
  </r>
  <r>
    <x v="1"/>
    <x v="42"/>
    <n v="113"/>
    <n v="91"/>
  </r>
  <r>
    <x v="1"/>
    <x v="32"/>
    <n v="120"/>
    <n v="16"/>
  </r>
  <r>
    <x v="1"/>
    <x v="6"/>
    <n v="120"/>
    <n v="79"/>
  </r>
  <r>
    <x v="1"/>
    <x v="18"/>
    <n v="126"/>
    <n v="28"/>
  </r>
  <r>
    <x v="0"/>
    <x v="39"/>
    <n v="126"/>
    <n v="74"/>
  </r>
  <r>
    <x v="0"/>
    <x v="39"/>
    <n v="137"/>
    <n v="18"/>
  </r>
  <r>
    <x v="0"/>
    <x v="8"/>
    <n v="137"/>
    <n v="8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768DA20-4CE9-154C-B57E-EE6D18B85382}" name="PivotTable1"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4">
  <location ref="E45:H53" firstHeaderRow="1" firstDataRow="2" firstDataCol="1"/>
  <pivotFields count="4">
    <pivotField axis="axisCol" showAll="0">
      <items count="3">
        <item x="1"/>
        <item x="0"/>
        <item t="default"/>
      </items>
    </pivotField>
    <pivotField axis="axisRow" dataField="1" showAll="0">
      <items count="9">
        <item x="0"/>
        <item x="1"/>
        <item x="2"/>
        <item x="3"/>
        <item x="4"/>
        <item x="5"/>
        <item x="6"/>
        <item x="7"/>
        <item t="default"/>
      </items>
    </pivotField>
    <pivotField showAll="0"/>
    <pivotField showAll="0"/>
  </pivotFields>
  <rowFields count="1">
    <field x="1"/>
  </rowFields>
  <rowItems count="7">
    <i>
      <x v="1"/>
    </i>
    <i>
      <x v="2"/>
    </i>
    <i>
      <x v="3"/>
    </i>
    <i>
      <x v="4"/>
    </i>
    <i>
      <x v="5"/>
    </i>
    <i>
      <x v="6"/>
    </i>
    <i t="grand">
      <x/>
    </i>
  </rowItems>
  <colFields count="1">
    <field x="0"/>
  </colFields>
  <colItems count="3">
    <i>
      <x/>
    </i>
    <i>
      <x v="1"/>
    </i>
    <i t="grand">
      <x/>
    </i>
  </colItems>
  <dataFields count="1">
    <dataField name="Count of Age" fld="1" subtotal="count" showDataAs="percentOfCol" baseField="0" baseItem="0" numFmtId="166"/>
  </dataFields>
  <formats count="3">
    <format dxfId="0">
      <pivotArea outline="0" collapsedLevelsAreSubtotals="1" fieldPosition="0">
        <references count="1">
          <reference field="0" count="0" selected="0"/>
        </references>
      </pivotArea>
    </format>
    <format dxfId="1">
      <pivotArea outline="0" fieldPosition="0">
        <references count="1">
          <reference field="4294967294" count="1">
            <x v="0"/>
          </reference>
        </references>
      </pivotArea>
    </format>
    <format dxfId="2">
      <pivotArea outline="0" collapsedLevelsAreSubtotals="1" fieldPosition="0"/>
    </format>
  </formats>
  <chartFormats count="17">
    <chartFormat chart="0" format="0" series="1">
      <pivotArea type="data" outline="0" fieldPosition="0">
        <references count="2">
          <reference field="4294967294" count="1" selected="0">
            <x v="0"/>
          </reference>
          <reference field="0" count="1" selected="0">
            <x v="0"/>
          </reference>
        </references>
      </pivotArea>
    </chartFormat>
    <chartFormat chart="0" format="1" series="1">
      <pivotArea type="data" outline="0" fieldPosition="0">
        <references count="2">
          <reference field="4294967294" count="1" selected="0">
            <x v="0"/>
          </reference>
          <reference field="0" count="1" selected="0">
            <x v="1"/>
          </reference>
        </references>
      </pivotArea>
    </chartFormat>
    <chartFormat chart="0" format="2" series="1">
      <pivotArea type="data" outline="0" fieldPosition="0">
        <references count="1">
          <reference field="4294967294" count="1" selected="0">
            <x v="0"/>
          </reference>
        </references>
      </pivotArea>
    </chartFormat>
    <chartFormat chart="3" format="17" series="1">
      <pivotArea type="data" outline="0" fieldPosition="0">
        <references count="2">
          <reference field="4294967294" count="1" selected="0">
            <x v="0"/>
          </reference>
          <reference field="0" count="1" selected="0">
            <x v="0"/>
          </reference>
        </references>
      </pivotArea>
    </chartFormat>
    <chartFormat chart="3" format="18">
      <pivotArea type="data" outline="0" fieldPosition="0">
        <references count="3">
          <reference field="4294967294" count="1" selected="0">
            <x v="0"/>
          </reference>
          <reference field="0" count="1" selected="0">
            <x v="0"/>
          </reference>
          <reference field="1" count="1" selected="0">
            <x v="1"/>
          </reference>
        </references>
      </pivotArea>
    </chartFormat>
    <chartFormat chart="3" format="19">
      <pivotArea type="data" outline="0" fieldPosition="0">
        <references count="3">
          <reference field="4294967294" count="1" selected="0">
            <x v="0"/>
          </reference>
          <reference field="0" count="1" selected="0">
            <x v="0"/>
          </reference>
          <reference field="1" count="1" selected="0">
            <x v="2"/>
          </reference>
        </references>
      </pivotArea>
    </chartFormat>
    <chartFormat chart="3" format="20">
      <pivotArea type="data" outline="0" fieldPosition="0">
        <references count="3">
          <reference field="4294967294" count="1" selected="0">
            <x v="0"/>
          </reference>
          <reference field="0" count="1" selected="0">
            <x v="0"/>
          </reference>
          <reference field="1" count="1" selected="0">
            <x v="3"/>
          </reference>
        </references>
      </pivotArea>
    </chartFormat>
    <chartFormat chart="3" format="21">
      <pivotArea type="data" outline="0" fieldPosition="0">
        <references count="3">
          <reference field="4294967294" count="1" selected="0">
            <x v="0"/>
          </reference>
          <reference field="0" count="1" selected="0">
            <x v="0"/>
          </reference>
          <reference field="1" count="1" selected="0">
            <x v="4"/>
          </reference>
        </references>
      </pivotArea>
    </chartFormat>
    <chartFormat chart="3" format="22">
      <pivotArea type="data" outline="0" fieldPosition="0">
        <references count="3">
          <reference field="4294967294" count="1" selected="0">
            <x v="0"/>
          </reference>
          <reference field="0" count="1" selected="0">
            <x v="0"/>
          </reference>
          <reference field="1" count="1" selected="0">
            <x v="5"/>
          </reference>
        </references>
      </pivotArea>
    </chartFormat>
    <chartFormat chart="3" format="23">
      <pivotArea type="data" outline="0" fieldPosition="0">
        <references count="3">
          <reference field="4294967294" count="1" selected="0">
            <x v="0"/>
          </reference>
          <reference field="0" count="1" selected="0">
            <x v="0"/>
          </reference>
          <reference field="1" count="1" selected="0">
            <x v="6"/>
          </reference>
        </references>
      </pivotArea>
    </chartFormat>
    <chartFormat chart="3" format="24" series="1">
      <pivotArea type="data" outline="0" fieldPosition="0">
        <references count="2">
          <reference field="4294967294" count="1" selected="0">
            <x v="0"/>
          </reference>
          <reference field="0" count="1" selected="0">
            <x v="1"/>
          </reference>
        </references>
      </pivotArea>
    </chartFormat>
    <chartFormat chart="3" format="25">
      <pivotArea type="data" outline="0" fieldPosition="0">
        <references count="3">
          <reference field="4294967294" count="1" selected="0">
            <x v="0"/>
          </reference>
          <reference field="0" count="1" selected="0">
            <x v="1"/>
          </reference>
          <reference field="1" count="1" selected="0">
            <x v="1"/>
          </reference>
        </references>
      </pivotArea>
    </chartFormat>
    <chartFormat chart="3" format="26">
      <pivotArea type="data" outline="0" fieldPosition="0">
        <references count="3">
          <reference field="4294967294" count="1" selected="0">
            <x v="0"/>
          </reference>
          <reference field="0" count="1" selected="0">
            <x v="1"/>
          </reference>
          <reference field="1" count="1" selected="0">
            <x v="2"/>
          </reference>
        </references>
      </pivotArea>
    </chartFormat>
    <chartFormat chart="3" format="27">
      <pivotArea type="data" outline="0" fieldPosition="0">
        <references count="3">
          <reference field="4294967294" count="1" selected="0">
            <x v="0"/>
          </reference>
          <reference field="0" count="1" selected="0">
            <x v="1"/>
          </reference>
          <reference field="1" count="1" selected="0">
            <x v="3"/>
          </reference>
        </references>
      </pivotArea>
    </chartFormat>
    <chartFormat chart="3" format="28">
      <pivotArea type="data" outline="0" fieldPosition="0">
        <references count="3">
          <reference field="4294967294" count="1" selected="0">
            <x v="0"/>
          </reference>
          <reference field="0" count="1" selected="0">
            <x v="1"/>
          </reference>
          <reference field="1" count="1" selected="0">
            <x v="4"/>
          </reference>
        </references>
      </pivotArea>
    </chartFormat>
    <chartFormat chart="3" format="29">
      <pivotArea type="data" outline="0" fieldPosition="0">
        <references count="3">
          <reference field="4294967294" count="1" selected="0">
            <x v="0"/>
          </reference>
          <reference field="0" count="1" selected="0">
            <x v="1"/>
          </reference>
          <reference field="1" count="1" selected="0">
            <x v="5"/>
          </reference>
        </references>
      </pivotArea>
    </chartFormat>
    <chartFormat chart="3" format="30">
      <pivotArea type="data" outline="0" fieldPosition="0">
        <references count="3">
          <reference field="4294967294" count="1" selected="0">
            <x v="0"/>
          </reference>
          <reference field="0" count="1" selected="0">
            <x v="1"/>
          </reference>
          <reference field="1" count="1" selected="0">
            <x v="6"/>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200-000000000000}" name="Average Annual Income"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6">
  <location ref="E34:H42" firstHeaderRow="1" firstDataRow="2" firstDataCol="1"/>
  <pivotFields count="4">
    <pivotField axis="axisCol" showAll="0">
      <items count="3">
        <item x="1"/>
        <item x="0"/>
        <item t="default"/>
      </items>
    </pivotField>
    <pivotField axis="axisRow" showAll="0">
      <items count="9">
        <item x="0"/>
        <item x="1"/>
        <item x="2"/>
        <item x="3"/>
        <item x="4"/>
        <item x="5"/>
        <item x="6"/>
        <item x="7"/>
        <item t="default"/>
      </items>
    </pivotField>
    <pivotField dataField="1" showAll="0"/>
    <pivotField showAll="0"/>
  </pivotFields>
  <rowFields count="1">
    <field x="1"/>
  </rowFields>
  <rowItems count="7">
    <i>
      <x v="1"/>
    </i>
    <i>
      <x v="2"/>
    </i>
    <i>
      <x v="3"/>
    </i>
    <i>
      <x v="4"/>
    </i>
    <i>
      <x v="5"/>
    </i>
    <i>
      <x v="6"/>
    </i>
    <i t="grand">
      <x/>
    </i>
  </rowItems>
  <colFields count="1">
    <field x="0"/>
  </colFields>
  <colItems count="3">
    <i>
      <x/>
    </i>
    <i>
      <x v="1"/>
    </i>
    <i t="grand">
      <x/>
    </i>
  </colItems>
  <dataFields count="1">
    <dataField name="Sum of Annual Income (k$)" fld="2" baseField="0" baseItem="0" numFmtId="164"/>
  </dataFields>
  <formats count="4">
    <format dxfId="14">
      <pivotArea outline="0" collapsedLevelsAreSubtotals="1" fieldPosition="0">
        <references count="1">
          <reference field="0" count="0" selected="0"/>
        </references>
      </pivotArea>
    </format>
    <format dxfId="13">
      <pivotArea collapsedLevelsAreSubtotals="1" fieldPosition="0">
        <references count="2">
          <reference field="0" count="0" selected="0"/>
          <reference field="1" count="6">
            <x v="1"/>
            <x v="2"/>
            <x v="3"/>
            <x v="4"/>
            <x v="5"/>
            <x v="6"/>
          </reference>
        </references>
      </pivotArea>
    </format>
    <format dxfId="12">
      <pivotArea collapsedLevelsAreSubtotals="1" fieldPosition="0">
        <references count="2">
          <reference field="0" count="1" selected="0">
            <x v="0"/>
          </reference>
          <reference field="1" count="1">
            <x v="3"/>
          </reference>
        </references>
      </pivotArea>
    </format>
    <format dxfId="11">
      <pivotArea outline="0" collapsedLevelsAreSubtotals="1" fieldPosition="0"/>
    </format>
  </formats>
  <chartFormats count="7">
    <chartFormat chart="1" format="0" series="1">
      <pivotArea type="data" outline="0" fieldPosition="0">
        <references count="2">
          <reference field="4294967294" count="1" selected="0">
            <x v="0"/>
          </reference>
          <reference field="0" count="1" selected="0">
            <x v="0"/>
          </reference>
        </references>
      </pivotArea>
    </chartFormat>
    <chartFormat chart="1" format="1" series="1">
      <pivotArea type="data" outline="0" fieldPosition="0">
        <references count="2">
          <reference field="4294967294" count="1" selected="0">
            <x v="0"/>
          </reference>
          <reference field="0" count="1" selected="0">
            <x v="1"/>
          </reference>
        </references>
      </pivotArea>
    </chartFormat>
    <chartFormat chart="1" format="2" series="1">
      <pivotArea type="data" outline="0" fieldPosition="0">
        <references count="1">
          <reference field="4294967294" count="1" selected="0">
            <x v="0"/>
          </reference>
        </references>
      </pivotArea>
    </chartFormat>
    <chartFormat chart="5" format="0" series="1">
      <pivotArea type="data" outline="0" fieldPosition="0">
        <references count="2">
          <reference field="4294967294" count="1" selected="0">
            <x v="0"/>
          </reference>
          <reference field="0" count="1" selected="0">
            <x v="0"/>
          </reference>
        </references>
      </pivotArea>
    </chartFormat>
    <chartFormat chart="5" format="1" series="1">
      <pivotArea type="data" outline="0" fieldPosition="0">
        <references count="2">
          <reference field="4294967294" count="1" selected="0">
            <x v="0"/>
          </reference>
          <reference field="0" count="1" selected="0">
            <x v="1"/>
          </reference>
        </references>
      </pivotArea>
    </chartFormat>
    <chartFormat chart="4" format="9" series="1">
      <pivotArea type="data" outline="0" fieldPosition="0">
        <references count="2">
          <reference field="4294967294" count="1" selected="0">
            <x v="0"/>
          </reference>
          <reference field="0" count="1" selected="0">
            <x v="0"/>
          </reference>
        </references>
      </pivotArea>
    </chartFormat>
    <chartFormat chart="4" format="10" series="1">
      <pivotArea type="data" outline="0" fieldPosition="0">
        <references count="2">
          <reference field="4294967294" count="1" selected="0">
            <x v="0"/>
          </reference>
          <reference field="0"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200-000002000000}" name="PivotTable11"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4">
  <location ref="E1:H9" firstHeaderRow="1" firstDataRow="2" firstDataCol="1"/>
  <pivotFields count="4">
    <pivotField axis="axisCol" showAll="0">
      <items count="3">
        <item x="1"/>
        <item x="0"/>
        <item t="default"/>
      </items>
    </pivotField>
    <pivotField axis="axisRow" dataField="1" showAll="0">
      <items count="9">
        <item x="0"/>
        <item x="1"/>
        <item x="2"/>
        <item x="3"/>
        <item x="4"/>
        <item x="5"/>
        <item x="6"/>
        <item x="7"/>
        <item t="default"/>
      </items>
    </pivotField>
    <pivotField showAll="0"/>
    <pivotField showAll="0"/>
  </pivotFields>
  <rowFields count="1">
    <field x="1"/>
  </rowFields>
  <rowItems count="7">
    <i>
      <x v="1"/>
    </i>
    <i>
      <x v="2"/>
    </i>
    <i>
      <x v="3"/>
    </i>
    <i>
      <x v="4"/>
    </i>
    <i>
      <x v="5"/>
    </i>
    <i>
      <x v="6"/>
    </i>
    <i t="grand">
      <x/>
    </i>
  </rowItems>
  <colFields count="1">
    <field x="0"/>
  </colFields>
  <colItems count="3">
    <i>
      <x/>
    </i>
    <i>
      <x v="1"/>
    </i>
    <i t="grand">
      <x/>
    </i>
  </colItems>
  <dataFields count="1">
    <dataField name="Count of Age" fld="1" subtotal="count" showDataAs="percentOfCol" baseField="0" baseItem="0" numFmtId="166"/>
  </dataFields>
  <formats count="3">
    <format dxfId="17">
      <pivotArea outline="0" collapsedLevelsAreSubtotals="1" fieldPosition="0">
        <references count="1">
          <reference field="0" count="0" selected="0"/>
        </references>
      </pivotArea>
    </format>
    <format dxfId="16">
      <pivotArea outline="0" fieldPosition="0">
        <references count="1">
          <reference field="4294967294" count="1">
            <x v="0"/>
          </reference>
        </references>
      </pivotArea>
    </format>
    <format dxfId="15">
      <pivotArea outline="0" collapsedLevelsAreSubtotals="1" fieldPosition="0"/>
    </format>
  </formats>
  <chartFormats count="17">
    <chartFormat chart="0" format="0" series="1">
      <pivotArea type="data" outline="0" fieldPosition="0">
        <references count="2">
          <reference field="4294967294" count="1" selected="0">
            <x v="0"/>
          </reference>
          <reference field="0" count="1" selected="0">
            <x v="0"/>
          </reference>
        </references>
      </pivotArea>
    </chartFormat>
    <chartFormat chart="0" format="1" series="1">
      <pivotArea type="data" outline="0" fieldPosition="0">
        <references count="2">
          <reference field="4294967294" count="1" selected="0">
            <x v="0"/>
          </reference>
          <reference field="0" count="1" selected="0">
            <x v="1"/>
          </reference>
        </references>
      </pivotArea>
    </chartFormat>
    <chartFormat chart="0" format="2" series="1">
      <pivotArea type="data" outline="0" fieldPosition="0">
        <references count="1">
          <reference field="4294967294" count="1" selected="0">
            <x v="0"/>
          </reference>
        </references>
      </pivotArea>
    </chartFormat>
    <chartFormat chart="3" format="17" series="1">
      <pivotArea type="data" outline="0" fieldPosition="0">
        <references count="2">
          <reference field="4294967294" count="1" selected="0">
            <x v="0"/>
          </reference>
          <reference field="0" count="1" selected="0">
            <x v="0"/>
          </reference>
        </references>
      </pivotArea>
    </chartFormat>
    <chartFormat chart="3" format="18">
      <pivotArea type="data" outline="0" fieldPosition="0">
        <references count="3">
          <reference field="4294967294" count="1" selected="0">
            <x v="0"/>
          </reference>
          <reference field="0" count="1" selected="0">
            <x v="0"/>
          </reference>
          <reference field="1" count="1" selected="0">
            <x v="1"/>
          </reference>
        </references>
      </pivotArea>
    </chartFormat>
    <chartFormat chart="3" format="19">
      <pivotArea type="data" outline="0" fieldPosition="0">
        <references count="3">
          <reference field="4294967294" count="1" selected="0">
            <x v="0"/>
          </reference>
          <reference field="0" count="1" selected="0">
            <x v="0"/>
          </reference>
          <reference field="1" count="1" selected="0">
            <x v="2"/>
          </reference>
        </references>
      </pivotArea>
    </chartFormat>
    <chartFormat chart="3" format="20">
      <pivotArea type="data" outline="0" fieldPosition="0">
        <references count="3">
          <reference field="4294967294" count="1" selected="0">
            <x v="0"/>
          </reference>
          <reference field="0" count="1" selected="0">
            <x v="0"/>
          </reference>
          <reference field="1" count="1" selected="0">
            <x v="3"/>
          </reference>
        </references>
      </pivotArea>
    </chartFormat>
    <chartFormat chart="3" format="21">
      <pivotArea type="data" outline="0" fieldPosition="0">
        <references count="3">
          <reference field="4294967294" count="1" selected="0">
            <x v="0"/>
          </reference>
          <reference field="0" count="1" selected="0">
            <x v="0"/>
          </reference>
          <reference field="1" count="1" selected="0">
            <x v="4"/>
          </reference>
        </references>
      </pivotArea>
    </chartFormat>
    <chartFormat chart="3" format="22">
      <pivotArea type="data" outline="0" fieldPosition="0">
        <references count="3">
          <reference field="4294967294" count="1" selected="0">
            <x v="0"/>
          </reference>
          <reference field="0" count="1" selected="0">
            <x v="0"/>
          </reference>
          <reference field="1" count="1" selected="0">
            <x v="5"/>
          </reference>
        </references>
      </pivotArea>
    </chartFormat>
    <chartFormat chart="3" format="23">
      <pivotArea type="data" outline="0" fieldPosition="0">
        <references count="3">
          <reference field="4294967294" count="1" selected="0">
            <x v="0"/>
          </reference>
          <reference field="0" count="1" selected="0">
            <x v="0"/>
          </reference>
          <reference field="1" count="1" selected="0">
            <x v="6"/>
          </reference>
        </references>
      </pivotArea>
    </chartFormat>
    <chartFormat chart="3" format="24" series="1">
      <pivotArea type="data" outline="0" fieldPosition="0">
        <references count="2">
          <reference field="4294967294" count="1" selected="0">
            <x v="0"/>
          </reference>
          <reference field="0" count="1" selected="0">
            <x v="1"/>
          </reference>
        </references>
      </pivotArea>
    </chartFormat>
    <chartFormat chart="3" format="25">
      <pivotArea type="data" outline="0" fieldPosition="0">
        <references count="3">
          <reference field="4294967294" count="1" selected="0">
            <x v="0"/>
          </reference>
          <reference field="0" count="1" selected="0">
            <x v="1"/>
          </reference>
          <reference field="1" count="1" selected="0">
            <x v="1"/>
          </reference>
        </references>
      </pivotArea>
    </chartFormat>
    <chartFormat chart="3" format="26">
      <pivotArea type="data" outline="0" fieldPosition="0">
        <references count="3">
          <reference field="4294967294" count="1" selected="0">
            <x v="0"/>
          </reference>
          <reference field="0" count="1" selected="0">
            <x v="1"/>
          </reference>
          <reference field="1" count="1" selected="0">
            <x v="2"/>
          </reference>
        </references>
      </pivotArea>
    </chartFormat>
    <chartFormat chart="3" format="27">
      <pivotArea type="data" outline="0" fieldPosition="0">
        <references count="3">
          <reference field="4294967294" count="1" selected="0">
            <x v="0"/>
          </reference>
          <reference field="0" count="1" selected="0">
            <x v="1"/>
          </reference>
          <reference field="1" count="1" selected="0">
            <x v="3"/>
          </reference>
        </references>
      </pivotArea>
    </chartFormat>
    <chartFormat chart="3" format="28">
      <pivotArea type="data" outline="0" fieldPosition="0">
        <references count="3">
          <reference field="4294967294" count="1" selected="0">
            <x v="0"/>
          </reference>
          <reference field="0" count="1" selected="0">
            <x v="1"/>
          </reference>
          <reference field="1" count="1" selected="0">
            <x v="4"/>
          </reference>
        </references>
      </pivotArea>
    </chartFormat>
    <chartFormat chart="3" format="29">
      <pivotArea type="data" outline="0" fieldPosition="0">
        <references count="3">
          <reference field="4294967294" count="1" selected="0">
            <x v="0"/>
          </reference>
          <reference field="0" count="1" selected="0">
            <x v="1"/>
          </reference>
          <reference field="1" count="1" selected="0">
            <x v="5"/>
          </reference>
        </references>
      </pivotArea>
    </chartFormat>
    <chartFormat chart="3" format="30">
      <pivotArea type="data" outline="0" fieldPosition="0">
        <references count="3">
          <reference field="4294967294" count="1" selected="0">
            <x v="0"/>
          </reference>
          <reference field="0" count="1" selected="0">
            <x v="1"/>
          </reference>
          <reference field="1" count="1" selected="0">
            <x v="6"/>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0200-000001000000}" name="PivotTable10"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2">
  <location ref="E17:F24" firstHeaderRow="1" firstDataRow="1" firstDataCol="1"/>
  <pivotFields count="4">
    <pivotField showAll="0">
      <items count="3">
        <item x="1"/>
        <item x="0"/>
        <item t="default"/>
      </items>
    </pivotField>
    <pivotField axis="axisRow" showAll="0">
      <items count="9">
        <item x="0"/>
        <item x="1"/>
        <item x="2"/>
        <item x="3"/>
        <item x="4"/>
        <item x="5"/>
        <item x="6"/>
        <item x="7"/>
        <item t="default"/>
      </items>
    </pivotField>
    <pivotField showAll="0"/>
    <pivotField dataField="1" showAll="0"/>
  </pivotFields>
  <rowFields count="1">
    <field x="1"/>
  </rowFields>
  <rowItems count="7">
    <i>
      <x v="1"/>
    </i>
    <i>
      <x v="2"/>
    </i>
    <i>
      <x v="3"/>
    </i>
    <i>
      <x v="4"/>
    </i>
    <i>
      <x v="5"/>
    </i>
    <i>
      <x v="6"/>
    </i>
    <i t="grand">
      <x/>
    </i>
  </rowItems>
  <colItems count="1">
    <i/>
  </colItems>
  <dataFields count="1">
    <dataField name="Average of Spending Score " fld="3" subtotal="average" baseField="0" baseItem="0"/>
  </dataFields>
  <formats count="1">
    <format dxfId="18">
      <pivotArea collapsedLevelsAreSubtotals="1" fieldPosition="0">
        <references count="1">
          <reference field="1" count="6">
            <x v="1"/>
            <x v="2"/>
            <x v="3"/>
            <x v="4"/>
            <x v="5"/>
            <x v="6"/>
          </reference>
        </references>
      </pivotArea>
    </format>
  </formats>
  <chartFormats count="5">
    <chartFormat chart="4" format="2" series="1">
      <pivotArea type="data" outline="0" fieldPosition="0">
        <references count="1">
          <reference field="4294967294" count="1" selected="0">
            <x v="0"/>
          </reference>
        </references>
      </pivotArea>
    </chartFormat>
    <chartFormat chart="3" format="6" series="1">
      <pivotArea type="data" outline="0" fieldPosition="0">
        <references count="1">
          <reference field="4294967294" count="1" selected="0">
            <x v="0"/>
          </reference>
        </references>
      </pivotArea>
    </chartFormat>
    <chartFormat chart="5" format="0" series="1">
      <pivotArea type="data" outline="0" fieldPosition="0">
        <references count="1">
          <reference field="4294967294" count="1" selected="0">
            <x v="0"/>
          </reference>
        </references>
      </pivotArea>
    </chartFormat>
    <chartFormat chart="10" format="7" series="1">
      <pivotArea type="data" outline="0" fieldPosition="0">
        <references count="1">
          <reference field="4294967294" count="1" selected="0">
            <x v="0"/>
          </reference>
        </references>
      </pivotArea>
    </chartFormat>
    <chartFormat chart="11" format="8"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ender1" xr10:uid="{00000000-0013-0000-FFFF-FFFF01000000}" sourceName="Gender">
  <pivotTables>
    <pivotTable tabId="3" name="PivotTable10"/>
    <pivotTable tabId="3" name="PivotTable11"/>
    <pivotTable tabId="3" name="Average Annual Income"/>
    <pivotTable tabId="3" name="PivotTable1"/>
  </pivotTables>
  <data>
    <tabular pivotCacheId="1497262072">
      <items count="2">
        <i x="1" s="1"/>
        <i x="0"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ge1" xr10:uid="{00000000-0013-0000-FFFF-FFFF02000000}" sourceName="Age">
  <pivotTables>
    <pivotTable tabId="3" name="PivotTable10"/>
    <pivotTable tabId="3" name="PivotTable11"/>
    <pivotTable tabId="3" name="Average Annual Income"/>
    <pivotTable tabId="3" name="PivotTable1"/>
  </pivotTables>
  <data>
    <tabular pivotCacheId="1497262072">
      <items count="8">
        <i x="1" s="1"/>
        <i x="2" s="1"/>
        <i x="3" s="1"/>
        <i x="4" s="1"/>
        <i x="5" s="1"/>
        <i x="6" s="1"/>
        <i x="0" s="1" nd="1"/>
        <i x="7"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Gender" xr10:uid="{00000000-0014-0000-FFFF-FFFF01000000}" cache="Slicer_Gender1" caption="Gender" rowHeight="251883"/>
  <slicer name="Age" xr10:uid="{00000000-0014-0000-FFFF-FFFF02000000}" cache="Slicer_Age1" caption="Age" rowHeight="251883"/>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Gender 1" xr10:uid="{00000000-0014-0000-FFFF-FFFF03000000}" cache="Slicer_Gender1" caption="Gender" rowHeight="251883"/>
  <slicer name="Age 1" xr10:uid="{00000000-0014-0000-FFFF-FFFF04000000}" cache="Slicer_Age1" caption="Age" rowHeight="251883"/>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drawing" Target="../drawings/drawing2.xml"/><Relationship Id="rId4" Type="http://schemas.openxmlformats.org/officeDocument/2006/relationships/pivotTable" Target="../pivotTables/pivotTable4.xml"/></Relationships>
</file>

<file path=xl/worksheets/_rels/sheet4.xml.rels><?xml version="1.0" encoding="UTF-8" standalone="yes"?>
<Relationships xmlns="http://schemas.openxmlformats.org/package/2006/relationships"><Relationship Id="rId2" Type="http://schemas.microsoft.com/office/2007/relationships/slicer" Target="../slicers/slicer2.x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G201"/>
  <sheetViews>
    <sheetView workbookViewId="0">
      <selection activeCell="E28" sqref="E28"/>
    </sheetView>
  </sheetViews>
  <sheetFormatPr baseColWidth="10" defaultRowHeight="16"/>
  <cols>
    <col min="4" max="4" width="23.83203125" customWidth="1"/>
    <col min="5" max="5" width="36.6640625" customWidth="1"/>
  </cols>
  <sheetData>
    <row r="1" spans="1:7">
      <c r="A1" t="s">
        <v>0</v>
      </c>
      <c r="B1" t="s">
        <v>1</v>
      </c>
      <c r="C1" t="s">
        <v>2</v>
      </c>
      <c r="D1" t="s">
        <v>3</v>
      </c>
      <c r="E1" t="s">
        <v>4</v>
      </c>
      <c r="G1" t="s">
        <v>3</v>
      </c>
    </row>
    <row r="2" spans="1:7">
      <c r="A2">
        <v>1</v>
      </c>
      <c r="B2" t="s">
        <v>5</v>
      </c>
      <c r="C2">
        <v>19</v>
      </c>
      <c r="D2">
        <v>15</v>
      </c>
      <c r="E2">
        <v>39</v>
      </c>
      <c r="G2">
        <f>D2*1000</f>
        <v>15000</v>
      </c>
    </row>
    <row r="3" spans="1:7">
      <c r="A3">
        <v>2</v>
      </c>
      <c r="B3" t="s">
        <v>5</v>
      </c>
      <c r="C3">
        <v>21</v>
      </c>
      <c r="D3">
        <v>15</v>
      </c>
      <c r="E3">
        <v>81</v>
      </c>
      <c r="G3">
        <f t="shared" ref="G3:G66" si="0">D3*1000</f>
        <v>15000</v>
      </c>
    </row>
    <row r="4" spans="1:7">
      <c r="A4">
        <v>3</v>
      </c>
      <c r="B4" t="s">
        <v>6</v>
      </c>
      <c r="C4">
        <v>20</v>
      </c>
      <c r="D4">
        <v>16</v>
      </c>
      <c r="E4">
        <v>6</v>
      </c>
      <c r="G4">
        <f t="shared" si="0"/>
        <v>16000</v>
      </c>
    </row>
    <row r="5" spans="1:7">
      <c r="A5">
        <v>4</v>
      </c>
      <c r="B5" t="s">
        <v>6</v>
      </c>
      <c r="C5">
        <v>23</v>
      </c>
      <c r="D5">
        <v>16</v>
      </c>
      <c r="E5">
        <v>77</v>
      </c>
      <c r="G5">
        <f t="shared" si="0"/>
        <v>16000</v>
      </c>
    </row>
    <row r="6" spans="1:7">
      <c r="A6">
        <v>5</v>
      </c>
      <c r="B6" t="s">
        <v>6</v>
      </c>
      <c r="C6">
        <v>31</v>
      </c>
      <c r="D6">
        <v>17</v>
      </c>
      <c r="E6">
        <v>40</v>
      </c>
      <c r="G6">
        <f t="shared" si="0"/>
        <v>17000</v>
      </c>
    </row>
    <row r="7" spans="1:7">
      <c r="A7">
        <v>6</v>
      </c>
      <c r="B7" t="s">
        <v>6</v>
      </c>
      <c r="C7">
        <v>22</v>
      </c>
      <c r="D7">
        <v>17</v>
      </c>
      <c r="E7">
        <v>76</v>
      </c>
      <c r="G7">
        <f t="shared" si="0"/>
        <v>17000</v>
      </c>
    </row>
    <row r="8" spans="1:7">
      <c r="A8">
        <v>7</v>
      </c>
      <c r="B8" t="s">
        <v>6</v>
      </c>
      <c r="C8">
        <v>35</v>
      </c>
      <c r="D8">
        <v>18</v>
      </c>
      <c r="E8">
        <v>6</v>
      </c>
      <c r="G8">
        <f t="shared" si="0"/>
        <v>18000</v>
      </c>
    </row>
    <row r="9" spans="1:7">
      <c r="A9">
        <v>8</v>
      </c>
      <c r="B9" t="s">
        <v>6</v>
      </c>
      <c r="C9">
        <v>23</v>
      </c>
      <c r="D9">
        <v>18</v>
      </c>
      <c r="E9">
        <v>94</v>
      </c>
      <c r="G9">
        <f t="shared" si="0"/>
        <v>18000</v>
      </c>
    </row>
    <row r="10" spans="1:7">
      <c r="A10">
        <v>9</v>
      </c>
      <c r="B10" t="s">
        <v>5</v>
      </c>
      <c r="C10">
        <v>64</v>
      </c>
      <c r="D10">
        <v>19</v>
      </c>
      <c r="E10">
        <v>3</v>
      </c>
      <c r="G10">
        <f t="shared" si="0"/>
        <v>19000</v>
      </c>
    </row>
    <row r="11" spans="1:7">
      <c r="A11">
        <v>10</v>
      </c>
      <c r="B11" t="s">
        <v>6</v>
      </c>
      <c r="C11">
        <v>30</v>
      </c>
      <c r="D11">
        <v>19</v>
      </c>
      <c r="E11">
        <v>72</v>
      </c>
      <c r="G11">
        <f t="shared" si="0"/>
        <v>19000</v>
      </c>
    </row>
    <row r="12" spans="1:7">
      <c r="A12">
        <v>11</v>
      </c>
      <c r="B12" t="s">
        <v>5</v>
      </c>
      <c r="C12">
        <v>67</v>
      </c>
      <c r="D12">
        <v>19</v>
      </c>
      <c r="E12">
        <v>14</v>
      </c>
      <c r="G12">
        <f t="shared" si="0"/>
        <v>19000</v>
      </c>
    </row>
    <row r="13" spans="1:7">
      <c r="A13">
        <v>12</v>
      </c>
      <c r="B13" t="s">
        <v>6</v>
      </c>
      <c r="C13">
        <v>35</v>
      </c>
      <c r="D13">
        <v>19</v>
      </c>
      <c r="E13">
        <v>99</v>
      </c>
      <c r="G13">
        <f t="shared" si="0"/>
        <v>19000</v>
      </c>
    </row>
    <row r="14" spans="1:7">
      <c r="A14">
        <v>13</v>
      </c>
      <c r="B14" t="s">
        <v>6</v>
      </c>
      <c r="C14">
        <v>58</v>
      </c>
      <c r="D14">
        <v>20</v>
      </c>
      <c r="E14">
        <v>15</v>
      </c>
      <c r="G14">
        <f t="shared" si="0"/>
        <v>20000</v>
      </c>
    </row>
    <row r="15" spans="1:7">
      <c r="A15">
        <v>14</v>
      </c>
      <c r="B15" t="s">
        <v>6</v>
      </c>
      <c r="C15">
        <v>24</v>
      </c>
      <c r="D15">
        <v>20</v>
      </c>
      <c r="E15">
        <v>77</v>
      </c>
      <c r="G15">
        <f t="shared" si="0"/>
        <v>20000</v>
      </c>
    </row>
    <row r="16" spans="1:7">
      <c r="A16">
        <v>15</v>
      </c>
      <c r="B16" t="s">
        <v>5</v>
      </c>
      <c r="C16">
        <v>37</v>
      </c>
      <c r="D16">
        <v>20</v>
      </c>
      <c r="E16">
        <v>13</v>
      </c>
      <c r="G16">
        <f t="shared" si="0"/>
        <v>20000</v>
      </c>
    </row>
    <row r="17" spans="1:7">
      <c r="A17">
        <v>16</v>
      </c>
      <c r="B17" t="s">
        <v>5</v>
      </c>
      <c r="C17">
        <v>22</v>
      </c>
      <c r="D17">
        <v>20</v>
      </c>
      <c r="E17">
        <v>79</v>
      </c>
      <c r="G17">
        <f t="shared" si="0"/>
        <v>20000</v>
      </c>
    </row>
    <row r="18" spans="1:7">
      <c r="A18">
        <v>17</v>
      </c>
      <c r="B18" t="s">
        <v>6</v>
      </c>
      <c r="C18">
        <v>35</v>
      </c>
      <c r="D18">
        <v>21</v>
      </c>
      <c r="E18">
        <v>35</v>
      </c>
      <c r="G18">
        <f t="shared" si="0"/>
        <v>21000</v>
      </c>
    </row>
    <row r="19" spans="1:7">
      <c r="A19">
        <v>18</v>
      </c>
      <c r="B19" t="s">
        <v>5</v>
      </c>
      <c r="C19">
        <v>20</v>
      </c>
      <c r="D19">
        <v>21</v>
      </c>
      <c r="E19">
        <v>66</v>
      </c>
      <c r="G19">
        <f t="shared" si="0"/>
        <v>21000</v>
      </c>
    </row>
    <row r="20" spans="1:7">
      <c r="A20">
        <v>19</v>
      </c>
      <c r="B20" t="s">
        <v>5</v>
      </c>
      <c r="C20">
        <v>52</v>
      </c>
      <c r="D20">
        <v>23</v>
      </c>
      <c r="E20">
        <v>29</v>
      </c>
      <c r="G20">
        <f t="shared" si="0"/>
        <v>23000</v>
      </c>
    </row>
    <row r="21" spans="1:7">
      <c r="A21">
        <v>20</v>
      </c>
      <c r="B21" t="s">
        <v>6</v>
      </c>
      <c r="C21">
        <v>35</v>
      </c>
      <c r="D21">
        <v>23</v>
      </c>
      <c r="E21">
        <v>98</v>
      </c>
      <c r="G21">
        <f t="shared" si="0"/>
        <v>23000</v>
      </c>
    </row>
    <row r="22" spans="1:7">
      <c r="A22">
        <v>21</v>
      </c>
      <c r="B22" t="s">
        <v>5</v>
      </c>
      <c r="C22">
        <v>35</v>
      </c>
      <c r="D22">
        <v>24</v>
      </c>
      <c r="E22">
        <v>35</v>
      </c>
      <c r="G22">
        <f t="shared" si="0"/>
        <v>24000</v>
      </c>
    </row>
    <row r="23" spans="1:7">
      <c r="A23">
        <v>22</v>
      </c>
      <c r="B23" t="s">
        <v>5</v>
      </c>
      <c r="C23">
        <v>25</v>
      </c>
      <c r="D23">
        <v>24</v>
      </c>
      <c r="E23">
        <v>73</v>
      </c>
      <c r="G23">
        <f t="shared" si="0"/>
        <v>24000</v>
      </c>
    </row>
    <row r="24" spans="1:7">
      <c r="A24">
        <v>23</v>
      </c>
      <c r="B24" t="s">
        <v>6</v>
      </c>
      <c r="C24">
        <v>46</v>
      </c>
      <c r="D24">
        <v>25</v>
      </c>
      <c r="E24">
        <v>5</v>
      </c>
      <c r="G24">
        <f t="shared" si="0"/>
        <v>25000</v>
      </c>
    </row>
    <row r="25" spans="1:7">
      <c r="A25">
        <v>24</v>
      </c>
      <c r="B25" t="s">
        <v>5</v>
      </c>
      <c r="C25">
        <v>31</v>
      </c>
      <c r="D25">
        <v>25</v>
      </c>
      <c r="E25">
        <v>73</v>
      </c>
      <c r="G25">
        <f t="shared" si="0"/>
        <v>25000</v>
      </c>
    </row>
    <row r="26" spans="1:7">
      <c r="A26">
        <v>25</v>
      </c>
      <c r="B26" t="s">
        <v>6</v>
      </c>
      <c r="C26">
        <v>54</v>
      </c>
      <c r="D26">
        <v>28</v>
      </c>
      <c r="E26">
        <v>14</v>
      </c>
      <c r="G26">
        <f t="shared" si="0"/>
        <v>28000</v>
      </c>
    </row>
    <row r="27" spans="1:7">
      <c r="A27">
        <v>26</v>
      </c>
      <c r="B27" t="s">
        <v>5</v>
      </c>
      <c r="C27">
        <v>29</v>
      </c>
      <c r="D27">
        <v>28</v>
      </c>
      <c r="E27">
        <v>82</v>
      </c>
      <c r="G27">
        <f t="shared" si="0"/>
        <v>28000</v>
      </c>
    </row>
    <row r="28" spans="1:7">
      <c r="A28">
        <v>27</v>
      </c>
      <c r="B28" t="s">
        <v>6</v>
      </c>
      <c r="C28">
        <v>45</v>
      </c>
      <c r="D28">
        <v>28</v>
      </c>
      <c r="E28">
        <v>32</v>
      </c>
      <c r="G28">
        <f t="shared" si="0"/>
        <v>28000</v>
      </c>
    </row>
    <row r="29" spans="1:7">
      <c r="A29">
        <v>28</v>
      </c>
      <c r="B29" t="s">
        <v>5</v>
      </c>
      <c r="C29">
        <v>35</v>
      </c>
      <c r="D29">
        <v>28</v>
      </c>
      <c r="E29">
        <v>61</v>
      </c>
      <c r="G29">
        <f t="shared" si="0"/>
        <v>28000</v>
      </c>
    </row>
    <row r="30" spans="1:7">
      <c r="A30">
        <v>29</v>
      </c>
      <c r="B30" t="s">
        <v>6</v>
      </c>
      <c r="C30">
        <v>40</v>
      </c>
      <c r="D30">
        <v>29</v>
      </c>
      <c r="E30">
        <v>31</v>
      </c>
      <c r="G30">
        <f t="shared" si="0"/>
        <v>29000</v>
      </c>
    </row>
    <row r="31" spans="1:7">
      <c r="A31">
        <v>30</v>
      </c>
      <c r="B31" t="s">
        <v>6</v>
      </c>
      <c r="C31">
        <v>23</v>
      </c>
      <c r="D31">
        <v>29</v>
      </c>
      <c r="E31">
        <v>87</v>
      </c>
      <c r="G31">
        <f t="shared" si="0"/>
        <v>29000</v>
      </c>
    </row>
    <row r="32" spans="1:7">
      <c r="A32">
        <v>31</v>
      </c>
      <c r="B32" t="s">
        <v>5</v>
      </c>
      <c r="C32">
        <v>60</v>
      </c>
      <c r="D32">
        <v>30</v>
      </c>
      <c r="E32">
        <v>4</v>
      </c>
      <c r="G32">
        <f t="shared" si="0"/>
        <v>30000</v>
      </c>
    </row>
    <row r="33" spans="1:7">
      <c r="A33">
        <v>32</v>
      </c>
      <c r="B33" t="s">
        <v>6</v>
      </c>
      <c r="C33">
        <v>21</v>
      </c>
      <c r="D33">
        <v>30</v>
      </c>
      <c r="E33">
        <v>73</v>
      </c>
      <c r="G33">
        <f t="shared" si="0"/>
        <v>30000</v>
      </c>
    </row>
    <row r="34" spans="1:7">
      <c r="A34">
        <v>33</v>
      </c>
      <c r="B34" t="s">
        <v>5</v>
      </c>
      <c r="C34">
        <v>53</v>
      </c>
      <c r="D34">
        <v>33</v>
      </c>
      <c r="E34">
        <v>4</v>
      </c>
      <c r="G34">
        <f t="shared" si="0"/>
        <v>33000</v>
      </c>
    </row>
    <row r="35" spans="1:7">
      <c r="A35">
        <v>34</v>
      </c>
      <c r="B35" t="s">
        <v>5</v>
      </c>
      <c r="C35">
        <v>18</v>
      </c>
      <c r="D35">
        <v>33</v>
      </c>
      <c r="E35">
        <v>92</v>
      </c>
      <c r="G35">
        <f t="shared" si="0"/>
        <v>33000</v>
      </c>
    </row>
    <row r="36" spans="1:7">
      <c r="A36">
        <v>35</v>
      </c>
      <c r="B36" t="s">
        <v>6</v>
      </c>
      <c r="C36">
        <v>49</v>
      </c>
      <c r="D36">
        <v>33</v>
      </c>
      <c r="E36">
        <v>14</v>
      </c>
      <c r="G36">
        <f t="shared" si="0"/>
        <v>33000</v>
      </c>
    </row>
    <row r="37" spans="1:7">
      <c r="A37">
        <v>36</v>
      </c>
      <c r="B37" t="s">
        <v>6</v>
      </c>
      <c r="C37">
        <v>21</v>
      </c>
      <c r="D37">
        <v>33</v>
      </c>
      <c r="E37">
        <v>81</v>
      </c>
      <c r="G37">
        <f t="shared" si="0"/>
        <v>33000</v>
      </c>
    </row>
    <row r="38" spans="1:7">
      <c r="A38">
        <v>37</v>
      </c>
      <c r="B38" t="s">
        <v>6</v>
      </c>
      <c r="C38">
        <v>42</v>
      </c>
      <c r="D38">
        <v>34</v>
      </c>
      <c r="E38">
        <v>17</v>
      </c>
      <c r="G38">
        <f t="shared" si="0"/>
        <v>34000</v>
      </c>
    </row>
    <row r="39" spans="1:7">
      <c r="A39">
        <v>38</v>
      </c>
      <c r="B39" t="s">
        <v>6</v>
      </c>
      <c r="C39">
        <v>30</v>
      </c>
      <c r="D39">
        <v>34</v>
      </c>
      <c r="E39">
        <v>73</v>
      </c>
      <c r="G39">
        <f t="shared" si="0"/>
        <v>34000</v>
      </c>
    </row>
    <row r="40" spans="1:7">
      <c r="A40">
        <v>39</v>
      </c>
      <c r="B40" t="s">
        <v>6</v>
      </c>
      <c r="C40">
        <v>36</v>
      </c>
      <c r="D40">
        <v>37</v>
      </c>
      <c r="E40">
        <v>26</v>
      </c>
      <c r="G40">
        <f t="shared" si="0"/>
        <v>37000</v>
      </c>
    </row>
    <row r="41" spans="1:7">
      <c r="A41">
        <v>40</v>
      </c>
      <c r="B41" t="s">
        <v>6</v>
      </c>
      <c r="C41">
        <v>20</v>
      </c>
      <c r="D41">
        <v>37</v>
      </c>
      <c r="E41">
        <v>75</v>
      </c>
      <c r="G41">
        <f t="shared" si="0"/>
        <v>37000</v>
      </c>
    </row>
    <row r="42" spans="1:7">
      <c r="A42">
        <v>41</v>
      </c>
      <c r="B42" t="s">
        <v>6</v>
      </c>
      <c r="C42">
        <v>65</v>
      </c>
      <c r="D42">
        <v>38</v>
      </c>
      <c r="E42">
        <v>35</v>
      </c>
      <c r="G42">
        <f t="shared" si="0"/>
        <v>38000</v>
      </c>
    </row>
    <row r="43" spans="1:7">
      <c r="A43">
        <v>42</v>
      </c>
      <c r="B43" t="s">
        <v>5</v>
      </c>
      <c r="C43">
        <v>24</v>
      </c>
      <c r="D43">
        <v>38</v>
      </c>
      <c r="E43">
        <v>92</v>
      </c>
      <c r="G43">
        <f t="shared" si="0"/>
        <v>38000</v>
      </c>
    </row>
    <row r="44" spans="1:7">
      <c r="A44">
        <v>43</v>
      </c>
      <c r="B44" t="s">
        <v>5</v>
      </c>
      <c r="C44">
        <v>48</v>
      </c>
      <c r="D44">
        <v>39</v>
      </c>
      <c r="E44">
        <v>36</v>
      </c>
      <c r="G44">
        <f t="shared" si="0"/>
        <v>39000</v>
      </c>
    </row>
    <row r="45" spans="1:7">
      <c r="A45">
        <v>44</v>
      </c>
      <c r="B45" t="s">
        <v>6</v>
      </c>
      <c r="C45">
        <v>31</v>
      </c>
      <c r="D45">
        <v>39</v>
      </c>
      <c r="E45">
        <v>61</v>
      </c>
      <c r="G45">
        <f t="shared" si="0"/>
        <v>39000</v>
      </c>
    </row>
    <row r="46" spans="1:7">
      <c r="A46">
        <v>45</v>
      </c>
      <c r="B46" t="s">
        <v>6</v>
      </c>
      <c r="C46">
        <v>49</v>
      </c>
      <c r="D46">
        <v>39</v>
      </c>
      <c r="E46">
        <v>28</v>
      </c>
      <c r="G46">
        <f t="shared" si="0"/>
        <v>39000</v>
      </c>
    </row>
    <row r="47" spans="1:7">
      <c r="A47">
        <v>46</v>
      </c>
      <c r="B47" t="s">
        <v>6</v>
      </c>
      <c r="C47">
        <v>24</v>
      </c>
      <c r="D47">
        <v>39</v>
      </c>
      <c r="E47">
        <v>65</v>
      </c>
      <c r="G47">
        <f t="shared" si="0"/>
        <v>39000</v>
      </c>
    </row>
    <row r="48" spans="1:7">
      <c r="A48">
        <v>47</v>
      </c>
      <c r="B48" t="s">
        <v>6</v>
      </c>
      <c r="C48">
        <v>50</v>
      </c>
      <c r="D48">
        <v>40</v>
      </c>
      <c r="E48">
        <v>55</v>
      </c>
      <c r="G48">
        <f t="shared" si="0"/>
        <v>40000</v>
      </c>
    </row>
    <row r="49" spans="1:7">
      <c r="A49">
        <v>48</v>
      </c>
      <c r="B49" t="s">
        <v>6</v>
      </c>
      <c r="C49">
        <v>27</v>
      </c>
      <c r="D49">
        <v>40</v>
      </c>
      <c r="E49">
        <v>47</v>
      </c>
      <c r="G49">
        <f t="shared" si="0"/>
        <v>40000</v>
      </c>
    </row>
    <row r="50" spans="1:7">
      <c r="A50">
        <v>49</v>
      </c>
      <c r="B50" t="s">
        <v>6</v>
      </c>
      <c r="C50">
        <v>29</v>
      </c>
      <c r="D50">
        <v>40</v>
      </c>
      <c r="E50">
        <v>42</v>
      </c>
      <c r="G50">
        <f t="shared" si="0"/>
        <v>40000</v>
      </c>
    </row>
    <row r="51" spans="1:7">
      <c r="A51">
        <v>50</v>
      </c>
      <c r="B51" t="s">
        <v>6</v>
      </c>
      <c r="C51">
        <v>31</v>
      </c>
      <c r="D51">
        <v>40</v>
      </c>
      <c r="E51">
        <v>42</v>
      </c>
      <c r="G51">
        <f t="shared" si="0"/>
        <v>40000</v>
      </c>
    </row>
    <row r="52" spans="1:7">
      <c r="A52">
        <v>51</v>
      </c>
      <c r="B52" t="s">
        <v>6</v>
      </c>
      <c r="C52">
        <v>49</v>
      </c>
      <c r="D52">
        <v>42</v>
      </c>
      <c r="E52">
        <v>52</v>
      </c>
      <c r="G52">
        <f t="shared" si="0"/>
        <v>42000</v>
      </c>
    </row>
    <row r="53" spans="1:7">
      <c r="A53">
        <v>52</v>
      </c>
      <c r="B53" t="s">
        <v>5</v>
      </c>
      <c r="C53">
        <v>33</v>
      </c>
      <c r="D53">
        <v>42</v>
      </c>
      <c r="E53">
        <v>60</v>
      </c>
      <c r="G53">
        <f t="shared" si="0"/>
        <v>42000</v>
      </c>
    </row>
    <row r="54" spans="1:7">
      <c r="A54">
        <v>53</v>
      </c>
      <c r="B54" t="s">
        <v>6</v>
      </c>
      <c r="C54">
        <v>31</v>
      </c>
      <c r="D54">
        <v>43</v>
      </c>
      <c r="E54">
        <v>54</v>
      </c>
      <c r="G54">
        <f t="shared" si="0"/>
        <v>43000</v>
      </c>
    </row>
    <row r="55" spans="1:7">
      <c r="A55">
        <v>54</v>
      </c>
      <c r="B55" t="s">
        <v>5</v>
      </c>
      <c r="C55">
        <v>59</v>
      </c>
      <c r="D55">
        <v>43</v>
      </c>
      <c r="E55">
        <v>60</v>
      </c>
      <c r="G55">
        <f t="shared" si="0"/>
        <v>43000</v>
      </c>
    </row>
    <row r="56" spans="1:7">
      <c r="A56">
        <v>55</v>
      </c>
      <c r="B56" t="s">
        <v>6</v>
      </c>
      <c r="C56">
        <v>50</v>
      </c>
      <c r="D56">
        <v>43</v>
      </c>
      <c r="E56">
        <v>45</v>
      </c>
      <c r="G56">
        <f t="shared" si="0"/>
        <v>43000</v>
      </c>
    </row>
    <row r="57" spans="1:7">
      <c r="A57">
        <v>56</v>
      </c>
      <c r="B57" t="s">
        <v>5</v>
      </c>
      <c r="C57">
        <v>47</v>
      </c>
      <c r="D57">
        <v>43</v>
      </c>
      <c r="E57">
        <v>41</v>
      </c>
      <c r="G57">
        <f t="shared" si="0"/>
        <v>43000</v>
      </c>
    </row>
    <row r="58" spans="1:7">
      <c r="A58">
        <v>57</v>
      </c>
      <c r="B58" t="s">
        <v>6</v>
      </c>
      <c r="C58">
        <v>51</v>
      </c>
      <c r="D58">
        <v>44</v>
      </c>
      <c r="E58">
        <v>50</v>
      </c>
      <c r="G58">
        <f t="shared" si="0"/>
        <v>44000</v>
      </c>
    </row>
    <row r="59" spans="1:7">
      <c r="A59">
        <v>58</v>
      </c>
      <c r="B59" t="s">
        <v>5</v>
      </c>
      <c r="C59">
        <v>69</v>
      </c>
      <c r="D59">
        <v>44</v>
      </c>
      <c r="E59">
        <v>46</v>
      </c>
      <c r="G59">
        <f t="shared" si="0"/>
        <v>44000</v>
      </c>
    </row>
    <row r="60" spans="1:7">
      <c r="A60">
        <v>59</v>
      </c>
      <c r="B60" t="s">
        <v>6</v>
      </c>
      <c r="C60">
        <v>27</v>
      </c>
      <c r="D60">
        <v>46</v>
      </c>
      <c r="E60">
        <v>51</v>
      </c>
      <c r="G60">
        <f t="shared" si="0"/>
        <v>46000</v>
      </c>
    </row>
    <row r="61" spans="1:7">
      <c r="A61">
        <v>60</v>
      </c>
      <c r="B61" t="s">
        <v>5</v>
      </c>
      <c r="C61">
        <v>53</v>
      </c>
      <c r="D61">
        <v>46</v>
      </c>
      <c r="E61">
        <v>46</v>
      </c>
      <c r="G61">
        <f t="shared" si="0"/>
        <v>46000</v>
      </c>
    </row>
    <row r="62" spans="1:7">
      <c r="A62">
        <v>61</v>
      </c>
      <c r="B62" t="s">
        <v>5</v>
      </c>
      <c r="C62">
        <v>70</v>
      </c>
      <c r="D62">
        <v>46</v>
      </c>
      <c r="E62">
        <v>56</v>
      </c>
      <c r="G62">
        <f t="shared" si="0"/>
        <v>46000</v>
      </c>
    </row>
    <row r="63" spans="1:7">
      <c r="A63">
        <v>62</v>
      </c>
      <c r="B63" t="s">
        <v>5</v>
      </c>
      <c r="C63">
        <v>19</v>
      </c>
      <c r="D63">
        <v>46</v>
      </c>
      <c r="E63">
        <v>55</v>
      </c>
      <c r="G63">
        <f t="shared" si="0"/>
        <v>46000</v>
      </c>
    </row>
    <row r="64" spans="1:7">
      <c r="A64">
        <v>63</v>
      </c>
      <c r="B64" t="s">
        <v>6</v>
      </c>
      <c r="C64">
        <v>67</v>
      </c>
      <c r="D64">
        <v>47</v>
      </c>
      <c r="E64">
        <v>52</v>
      </c>
      <c r="G64">
        <f t="shared" si="0"/>
        <v>47000</v>
      </c>
    </row>
    <row r="65" spans="1:7">
      <c r="A65">
        <v>64</v>
      </c>
      <c r="B65" t="s">
        <v>6</v>
      </c>
      <c r="C65">
        <v>54</v>
      </c>
      <c r="D65">
        <v>47</v>
      </c>
      <c r="E65">
        <v>59</v>
      </c>
      <c r="G65">
        <f t="shared" si="0"/>
        <v>47000</v>
      </c>
    </row>
    <row r="66" spans="1:7">
      <c r="A66">
        <v>65</v>
      </c>
      <c r="B66" t="s">
        <v>5</v>
      </c>
      <c r="C66">
        <v>63</v>
      </c>
      <c r="D66">
        <v>48</v>
      </c>
      <c r="E66">
        <v>51</v>
      </c>
      <c r="G66">
        <f t="shared" si="0"/>
        <v>48000</v>
      </c>
    </row>
    <row r="67" spans="1:7">
      <c r="A67">
        <v>66</v>
      </c>
      <c r="B67" t="s">
        <v>5</v>
      </c>
      <c r="C67">
        <v>18</v>
      </c>
      <c r="D67">
        <v>48</v>
      </c>
      <c r="E67">
        <v>59</v>
      </c>
      <c r="G67">
        <f t="shared" ref="G67:G130" si="1">D67*1000</f>
        <v>48000</v>
      </c>
    </row>
    <row r="68" spans="1:7">
      <c r="A68">
        <v>67</v>
      </c>
      <c r="B68" t="s">
        <v>6</v>
      </c>
      <c r="C68">
        <v>43</v>
      </c>
      <c r="D68">
        <v>48</v>
      </c>
      <c r="E68">
        <v>50</v>
      </c>
      <c r="G68">
        <f t="shared" si="1"/>
        <v>48000</v>
      </c>
    </row>
    <row r="69" spans="1:7">
      <c r="A69">
        <v>68</v>
      </c>
      <c r="B69" t="s">
        <v>6</v>
      </c>
      <c r="C69">
        <v>68</v>
      </c>
      <c r="D69">
        <v>48</v>
      </c>
      <c r="E69">
        <v>48</v>
      </c>
      <c r="G69">
        <f t="shared" si="1"/>
        <v>48000</v>
      </c>
    </row>
    <row r="70" spans="1:7">
      <c r="A70">
        <v>69</v>
      </c>
      <c r="B70" t="s">
        <v>5</v>
      </c>
      <c r="C70">
        <v>19</v>
      </c>
      <c r="D70">
        <v>48</v>
      </c>
      <c r="E70">
        <v>59</v>
      </c>
      <c r="G70">
        <f t="shared" si="1"/>
        <v>48000</v>
      </c>
    </row>
    <row r="71" spans="1:7">
      <c r="A71">
        <v>70</v>
      </c>
      <c r="B71" t="s">
        <v>6</v>
      </c>
      <c r="C71">
        <v>32</v>
      </c>
      <c r="D71">
        <v>48</v>
      </c>
      <c r="E71">
        <v>47</v>
      </c>
      <c r="G71">
        <f t="shared" si="1"/>
        <v>48000</v>
      </c>
    </row>
    <row r="72" spans="1:7">
      <c r="A72">
        <v>71</v>
      </c>
      <c r="B72" t="s">
        <v>5</v>
      </c>
      <c r="C72">
        <v>70</v>
      </c>
      <c r="D72">
        <v>49</v>
      </c>
      <c r="E72">
        <v>55</v>
      </c>
      <c r="G72">
        <f t="shared" si="1"/>
        <v>49000</v>
      </c>
    </row>
    <row r="73" spans="1:7">
      <c r="A73">
        <v>72</v>
      </c>
      <c r="B73" t="s">
        <v>6</v>
      </c>
      <c r="C73">
        <v>47</v>
      </c>
      <c r="D73">
        <v>49</v>
      </c>
      <c r="E73">
        <v>42</v>
      </c>
      <c r="G73">
        <f t="shared" si="1"/>
        <v>49000</v>
      </c>
    </row>
    <row r="74" spans="1:7">
      <c r="A74">
        <v>73</v>
      </c>
      <c r="B74" t="s">
        <v>6</v>
      </c>
      <c r="C74">
        <v>60</v>
      </c>
      <c r="D74">
        <v>50</v>
      </c>
      <c r="E74">
        <v>49</v>
      </c>
      <c r="G74">
        <f t="shared" si="1"/>
        <v>50000</v>
      </c>
    </row>
    <row r="75" spans="1:7">
      <c r="A75">
        <v>74</v>
      </c>
      <c r="B75" t="s">
        <v>6</v>
      </c>
      <c r="C75">
        <v>60</v>
      </c>
      <c r="D75">
        <v>50</v>
      </c>
      <c r="E75">
        <v>56</v>
      </c>
      <c r="G75">
        <f t="shared" si="1"/>
        <v>50000</v>
      </c>
    </row>
    <row r="76" spans="1:7">
      <c r="A76">
        <v>75</v>
      </c>
      <c r="B76" t="s">
        <v>5</v>
      </c>
      <c r="C76">
        <v>59</v>
      </c>
      <c r="D76">
        <v>54</v>
      </c>
      <c r="E76">
        <v>47</v>
      </c>
      <c r="G76">
        <f t="shared" si="1"/>
        <v>54000</v>
      </c>
    </row>
    <row r="77" spans="1:7">
      <c r="A77">
        <v>76</v>
      </c>
      <c r="B77" t="s">
        <v>5</v>
      </c>
      <c r="C77">
        <v>26</v>
      </c>
      <c r="D77">
        <v>54</v>
      </c>
      <c r="E77">
        <v>54</v>
      </c>
      <c r="G77">
        <f t="shared" si="1"/>
        <v>54000</v>
      </c>
    </row>
    <row r="78" spans="1:7">
      <c r="A78">
        <v>77</v>
      </c>
      <c r="B78" t="s">
        <v>6</v>
      </c>
      <c r="C78">
        <v>45</v>
      </c>
      <c r="D78">
        <v>54</v>
      </c>
      <c r="E78">
        <v>53</v>
      </c>
      <c r="G78">
        <f t="shared" si="1"/>
        <v>54000</v>
      </c>
    </row>
    <row r="79" spans="1:7">
      <c r="A79">
        <v>78</v>
      </c>
      <c r="B79" t="s">
        <v>5</v>
      </c>
      <c r="C79">
        <v>40</v>
      </c>
      <c r="D79">
        <v>54</v>
      </c>
      <c r="E79">
        <v>48</v>
      </c>
      <c r="G79">
        <f t="shared" si="1"/>
        <v>54000</v>
      </c>
    </row>
    <row r="80" spans="1:7">
      <c r="A80">
        <v>79</v>
      </c>
      <c r="B80" t="s">
        <v>6</v>
      </c>
      <c r="C80">
        <v>23</v>
      </c>
      <c r="D80">
        <v>54</v>
      </c>
      <c r="E80">
        <v>52</v>
      </c>
      <c r="G80">
        <f t="shared" si="1"/>
        <v>54000</v>
      </c>
    </row>
    <row r="81" spans="1:7">
      <c r="A81">
        <v>80</v>
      </c>
      <c r="B81" t="s">
        <v>6</v>
      </c>
      <c r="C81">
        <v>49</v>
      </c>
      <c r="D81">
        <v>54</v>
      </c>
      <c r="E81">
        <v>42</v>
      </c>
      <c r="G81">
        <f t="shared" si="1"/>
        <v>54000</v>
      </c>
    </row>
    <row r="82" spans="1:7">
      <c r="A82">
        <v>81</v>
      </c>
      <c r="B82" t="s">
        <v>5</v>
      </c>
      <c r="C82">
        <v>57</v>
      </c>
      <c r="D82">
        <v>54</v>
      </c>
      <c r="E82">
        <v>51</v>
      </c>
      <c r="G82">
        <f t="shared" si="1"/>
        <v>54000</v>
      </c>
    </row>
    <row r="83" spans="1:7">
      <c r="A83">
        <v>82</v>
      </c>
      <c r="B83" t="s">
        <v>5</v>
      </c>
      <c r="C83">
        <v>38</v>
      </c>
      <c r="D83">
        <v>54</v>
      </c>
      <c r="E83">
        <v>55</v>
      </c>
      <c r="G83">
        <f t="shared" si="1"/>
        <v>54000</v>
      </c>
    </row>
    <row r="84" spans="1:7">
      <c r="A84">
        <v>83</v>
      </c>
      <c r="B84" t="s">
        <v>5</v>
      </c>
      <c r="C84">
        <v>67</v>
      </c>
      <c r="D84">
        <v>54</v>
      </c>
      <c r="E84">
        <v>41</v>
      </c>
      <c r="G84">
        <f t="shared" si="1"/>
        <v>54000</v>
      </c>
    </row>
    <row r="85" spans="1:7">
      <c r="A85">
        <v>84</v>
      </c>
      <c r="B85" t="s">
        <v>6</v>
      </c>
      <c r="C85">
        <v>46</v>
      </c>
      <c r="D85">
        <v>54</v>
      </c>
      <c r="E85">
        <v>44</v>
      </c>
      <c r="G85">
        <f t="shared" si="1"/>
        <v>54000</v>
      </c>
    </row>
    <row r="86" spans="1:7">
      <c r="A86">
        <v>85</v>
      </c>
      <c r="B86" t="s">
        <v>6</v>
      </c>
      <c r="C86">
        <v>21</v>
      </c>
      <c r="D86">
        <v>54</v>
      </c>
      <c r="E86">
        <v>57</v>
      </c>
      <c r="G86">
        <f t="shared" si="1"/>
        <v>54000</v>
      </c>
    </row>
    <row r="87" spans="1:7">
      <c r="A87">
        <v>86</v>
      </c>
      <c r="B87" t="s">
        <v>5</v>
      </c>
      <c r="C87">
        <v>48</v>
      </c>
      <c r="D87">
        <v>54</v>
      </c>
      <c r="E87">
        <v>46</v>
      </c>
      <c r="G87">
        <f t="shared" si="1"/>
        <v>54000</v>
      </c>
    </row>
    <row r="88" spans="1:7">
      <c r="A88">
        <v>87</v>
      </c>
      <c r="B88" t="s">
        <v>6</v>
      </c>
      <c r="C88">
        <v>55</v>
      </c>
      <c r="D88">
        <v>57</v>
      </c>
      <c r="E88">
        <v>58</v>
      </c>
      <c r="G88">
        <f t="shared" si="1"/>
        <v>57000</v>
      </c>
    </row>
    <row r="89" spans="1:7">
      <c r="A89">
        <v>88</v>
      </c>
      <c r="B89" t="s">
        <v>6</v>
      </c>
      <c r="C89">
        <v>22</v>
      </c>
      <c r="D89">
        <v>57</v>
      </c>
      <c r="E89">
        <v>55</v>
      </c>
      <c r="G89">
        <f t="shared" si="1"/>
        <v>57000</v>
      </c>
    </row>
    <row r="90" spans="1:7">
      <c r="A90">
        <v>89</v>
      </c>
      <c r="B90" t="s">
        <v>6</v>
      </c>
      <c r="C90">
        <v>34</v>
      </c>
      <c r="D90">
        <v>58</v>
      </c>
      <c r="E90">
        <v>60</v>
      </c>
      <c r="G90">
        <f t="shared" si="1"/>
        <v>58000</v>
      </c>
    </row>
    <row r="91" spans="1:7">
      <c r="A91">
        <v>90</v>
      </c>
      <c r="B91" t="s">
        <v>6</v>
      </c>
      <c r="C91">
        <v>50</v>
      </c>
      <c r="D91">
        <v>58</v>
      </c>
      <c r="E91">
        <v>46</v>
      </c>
      <c r="G91">
        <f t="shared" si="1"/>
        <v>58000</v>
      </c>
    </row>
    <row r="92" spans="1:7">
      <c r="A92">
        <v>91</v>
      </c>
      <c r="B92" t="s">
        <v>6</v>
      </c>
      <c r="C92">
        <v>68</v>
      </c>
      <c r="D92">
        <v>59</v>
      </c>
      <c r="E92">
        <v>55</v>
      </c>
      <c r="G92">
        <f t="shared" si="1"/>
        <v>59000</v>
      </c>
    </row>
    <row r="93" spans="1:7">
      <c r="A93">
        <v>92</v>
      </c>
      <c r="B93" t="s">
        <v>5</v>
      </c>
      <c r="C93">
        <v>18</v>
      </c>
      <c r="D93">
        <v>59</v>
      </c>
      <c r="E93">
        <v>41</v>
      </c>
      <c r="G93">
        <f t="shared" si="1"/>
        <v>59000</v>
      </c>
    </row>
    <row r="94" spans="1:7">
      <c r="A94">
        <v>93</v>
      </c>
      <c r="B94" t="s">
        <v>5</v>
      </c>
      <c r="C94">
        <v>48</v>
      </c>
      <c r="D94">
        <v>60</v>
      </c>
      <c r="E94">
        <v>49</v>
      </c>
      <c r="G94">
        <f t="shared" si="1"/>
        <v>60000</v>
      </c>
    </row>
    <row r="95" spans="1:7">
      <c r="A95">
        <v>94</v>
      </c>
      <c r="B95" t="s">
        <v>6</v>
      </c>
      <c r="C95">
        <v>40</v>
      </c>
      <c r="D95">
        <v>60</v>
      </c>
      <c r="E95">
        <v>40</v>
      </c>
      <c r="G95">
        <f t="shared" si="1"/>
        <v>60000</v>
      </c>
    </row>
    <row r="96" spans="1:7">
      <c r="A96">
        <v>95</v>
      </c>
      <c r="B96" t="s">
        <v>6</v>
      </c>
      <c r="C96">
        <v>32</v>
      </c>
      <c r="D96">
        <v>60</v>
      </c>
      <c r="E96">
        <v>42</v>
      </c>
      <c r="G96">
        <f t="shared" si="1"/>
        <v>60000</v>
      </c>
    </row>
    <row r="97" spans="1:7">
      <c r="A97">
        <v>96</v>
      </c>
      <c r="B97" t="s">
        <v>5</v>
      </c>
      <c r="C97">
        <v>24</v>
      </c>
      <c r="D97">
        <v>60</v>
      </c>
      <c r="E97">
        <v>52</v>
      </c>
      <c r="G97">
        <f t="shared" si="1"/>
        <v>60000</v>
      </c>
    </row>
    <row r="98" spans="1:7">
      <c r="A98">
        <v>97</v>
      </c>
      <c r="B98" t="s">
        <v>6</v>
      </c>
      <c r="C98">
        <v>47</v>
      </c>
      <c r="D98">
        <v>60</v>
      </c>
      <c r="E98">
        <v>47</v>
      </c>
      <c r="G98">
        <f t="shared" si="1"/>
        <v>60000</v>
      </c>
    </row>
    <row r="99" spans="1:7">
      <c r="A99">
        <v>98</v>
      </c>
      <c r="B99" t="s">
        <v>6</v>
      </c>
      <c r="C99">
        <v>27</v>
      </c>
      <c r="D99">
        <v>60</v>
      </c>
      <c r="E99">
        <v>50</v>
      </c>
      <c r="G99">
        <f t="shared" si="1"/>
        <v>60000</v>
      </c>
    </row>
    <row r="100" spans="1:7">
      <c r="A100">
        <v>99</v>
      </c>
      <c r="B100" t="s">
        <v>5</v>
      </c>
      <c r="C100">
        <v>48</v>
      </c>
      <c r="D100">
        <v>61</v>
      </c>
      <c r="E100">
        <v>42</v>
      </c>
      <c r="G100">
        <f t="shared" si="1"/>
        <v>61000</v>
      </c>
    </row>
    <row r="101" spans="1:7">
      <c r="A101">
        <v>100</v>
      </c>
      <c r="B101" t="s">
        <v>5</v>
      </c>
      <c r="C101">
        <v>20</v>
      </c>
      <c r="D101">
        <v>61</v>
      </c>
      <c r="E101">
        <v>49</v>
      </c>
      <c r="G101">
        <f t="shared" si="1"/>
        <v>61000</v>
      </c>
    </row>
    <row r="102" spans="1:7">
      <c r="A102">
        <v>101</v>
      </c>
      <c r="B102" t="s">
        <v>6</v>
      </c>
      <c r="C102">
        <v>23</v>
      </c>
      <c r="D102">
        <v>62</v>
      </c>
      <c r="E102">
        <v>41</v>
      </c>
      <c r="G102">
        <f t="shared" si="1"/>
        <v>62000</v>
      </c>
    </row>
    <row r="103" spans="1:7">
      <c r="A103">
        <v>102</v>
      </c>
      <c r="B103" t="s">
        <v>6</v>
      </c>
      <c r="C103">
        <v>49</v>
      </c>
      <c r="D103">
        <v>62</v>
      </c>
      <c r="E103">
        <v>48</v>
      </c>
      <c r="G103">
        <f t="shared" si="1"/>
        <v>62000</v>
      </c>
    </row>
    <row r="104" spans="1:7">
      <c r="A104">
        <v>103</v>
      </c>
      <c r="B104" t="s">
        <v>5</v>
      </c>
      <c r="C104">
        <v>67</v>
      </c>
      <c r="D104">
        <v>62</v>
      </c>
      <c r="E104">
        <v>59</v>
      </c>
      <c r="G104">
        <f t="shared" si="1"/>
        <v>62000</v>
      </c>
    </row>
    <row r="105" spans="1:7">
      <c r="A105">
        <v>104</v>
      </c>
      <c r="B105" t="s">
        <v>5</v>
      </c>
      <c r="C105">
        <v>26</v>
      </c>
      <c r="D105">
        <v>62</v>
      </c>
      <c r="E105">
        <v>55</v>
      </c>
      <c r="G105">
        <f t="shared" si="1"/>
        <v>62000</v>
      </c>
    </row>
    <row r="106" spans="1:7">
      <c r="A106">
        <v>105</v>
      </c>
      <c r="B106" t="s">
        <v>5</v>
      </c>
      <c r="C106">
        <v>49</v>
      </c>
      <c r="D106">
        <v>62</v>
      </c>
      <c r="E106">
        <v>56</v>
      </c>
      <c r="G106">
        <f t="shared" si="1"/>
        <v>62000</v>
      </c>
    </row>
    <row r="107" spans="1:7">
      <c r="A107">
        <v>106</v>
      </c>
      <c r="B107" t="s">
        <v>6</v>
      </c>
      <c r="C107">
        <v>21</v>
      </c>
      <c r="D107">
        <v>62</v>
      </c>
      <c r="E107">
        <v>42</v>
      </c>
      <c r="G107">
        <f t="shared" si="1"/>
        <v>62000</v>
      </c>
    </row>
    <row r="108" spans="1:7">
      <c r="A108">
        <v>107</v>
      </c>
      <c r="B108" t="s">
        <v>6</v>
      </c>
      <c r="C108">
        <v>66</v>
      </c>
      <c r="D108">
        <v>63</v>
      </c>
      <c r="E108">
        <v>50</v>
      </c>
      <c r="G108">
        <f t="shared" si="1"/>
        <v>63000</v>
      </c>
    </row>
    <row r="109" spans="1:7">
      <c r="A109">
        <v>108</v>
      </c>
      <c r="B109" t="s">
        <v>5</v>
      </c>
      <c r="C109">
        <v>54</v>
      </c>
      <c r="D109">
        <v>63</v>
      </c>
      <c r="E109">
        <v>46</v>
      </c>
      <c r="G109">
        <f t="shared" si="1"/>
        <v>63000</v>
      </c>
    </row>
    <row r="110" spans="1:7">
      <c r="A110">
        <v>109</v>
      </c>
      <c r="B110" t="s">
        <v>5</v>
      </c>
      <c r="C110">
        <v>68</v>
      </c>
      <c r="D110">
        <v>63</v>
      </c>
      <c r="E110">
        <v>43</v>
      </c>
      <c r="G110">
        <f t="shared" si="1"/>
        <v>63000</v>
      </c>
    </row>
    <row r="111" spans="1:7">
      <c r="A111">
        <v>110</v>
      </c>
      <c r="B111" t="s">
        <v>5</v>
      </c>
      <c r="C111">
        <v>66</v>
      </c>
      <c r="D111">
        <v>63</v>
      </c>
      <c r="E111">
        <v>48</v>
      </c>
      <c r="G111">
        <f t="shared" si="1"/>
        <v>63000</v>
      </c>
    </row>
    <row r="112" spans="1:7">
      <c r="A112">
        <v>111</v>
      </c>
      <c r="B112" t="s">
        <v>5</v>
      </c>
      <c r="C112">
        <v>65</v>
      </c>
      <c r="D112">
        <v>63</v>
      </c>
      <c r="E112">
        <v>52</v>
      </c>
      <c r="G112">
        <f t="shared" si="1"/>
        <v>63000</v>
      </c>
    </row>
    <row r="113" spans="1:7">
      <c r="A113">
        <v>112</v>
      </c>
      <c r="B113" t="s">
        <v>6</v>
      </c>
      <c r="C113">
        <v>19</v>
      </c>
      <c r="D113">
        <v>63</v>
      </c>
      <c r="E113">
        <v>54</v>
      </c>
      <c r="G113">
        <f t="shared" si="1"/>
        <v>63000</v>
      </c>
    </row>
    <row r="114" spans="1:7">
      <c r="A114">
        <v>113</v>
      </c>
      <c r="B114" t="s">
        <v>6</v>
      </c>
      <c r="C114">
        <v>38</v>
      </c>
      <c r="D114">
        <v>64</v>
      </c>
      <c r="E114">
        <v>42</v>
      </c>
      <c r="G114">
        <f t="shared" si="1"/>
        <v>64000</v>
      </c>
    </row>
    <row r="115" spans="1:7">
      <c r="A115">
        <v>114</v>
      </c>
      <c r="B115" t="s">
        <v>5</v>
      </c>
      <c r="C115">
        <v>19</v>
      </c>
      <c r="D115">
        <v>64</v>
      </c>
      <c r="E115">
        <v>46</v>
      </c>
      <c r="G115">
        <f t="shared" si="1"/>
        <v>64000</v>
      </c>
    </row>
    <row r="116" spans="1:7">
      <c r="A116">
        <v>115</v>
      </c>
      <c r="B116" t="s">
        <v>6</v>
      </c>
      <c r="C116">
        <v>18</v>
      </c>
      <c r="D116">
        <v>65</v>
      </c>
      <c r="E116">
        <v>48</v>
      </c>
      <c r="G116">
        <f t="shared" si="1"/>
        <v>65000</v>
      </c>
    </row>
    <row r="117" spans="1:7">
      <c r="A117">
        <v>116</v>
      </c>
      <c r="B117" t="s">
        <v>6</v>
      </c>
      <c r="C117">
        <v>19</v>
      </c>
      <c r="D117">
        <v>65</v>
      </c>
      <c r="E117">
        <v>50</v>
      </c>
      <c r="G117">
        <f t="shared" si="1"/>
        <v>65000</v>
      </c>
    </row>
    <row r="118" spans="1:7">
      <c r="A118">
        <v>117</v>
      </c>
      <c r="B118" t="s">
        <v>6</v>
      </c>
      <c r="C118">
        <v>63</v>
      </c>
      <c r="D118">
        <v>65</v>
      </c>
      <c r="E118">
        <v>43</v>
      </c>
      <c r="G118">
        <f t="shared" si="1"/>
        <v>65000</v>
      </c>
    </row>
    <row r="119" spans="1:7">
      <c r="A119">
        <v>118</v>
      </c>
      <c r="B119" t="s">
        <v>6</v>
      </c>
      <c r="C119">
        <v>49</v>
      </c>
      <c r="D119">
        <v>65</v>
      </c>
      <c r="E119">
        <v>59</v>
      </c>
      <c r="G119">
        <f t="shared" si="1"/>
        <v>65000</v>
      </c>
    </row>
    <row r="120" spans="1:7">
      <c r="A120">
        <v>119</v>
      </c>
      <c r="B120" t="s">
        <v>6</v>
      </c>
      <c r="C120">
        <v>51</v>
      </c>
      <c r="D120">
        <v>67</v>
      </c>
      <c r="E120">
        <v>43</v>
      </c>
      <c r="G120">
        <f t="shared" si="1"/>
        <v>67000</v>
      </c>
    </row>
    <row r="121" spans="1:7">
      <c r="A121">
        <v>120</v>
      </c>
      <c r="B121" t="s">
        <v>6</v>
      </c>
      <c r="C121">
        <v>50</v>
      </c>
      <c r="D121">
        <v>67</v>
      </c>
      <c r="E121">
        <v>57</v>
      </c>
      <c r="G121">
        <f t="shared" si="1"/>
        <v>67000</v>
      </c>
    </row>
    <row r="122" spans="1:7">
      <c r="A122">
        <v>121</v>
      </c>
      <c r="B122" t="s">
        <v>5</v>
      </c>
      <c r="C122">
        <v>27</v>
      </c>
      <c r="D122">
        <v>67</v>
      </c>
      <c r="E122">
        <v>56</v>
      </c>
      <c r="G122">
        <f t="shared" si="1"/>
        <v>67000</v>
      </c>
    </row>
    <row r="123" spans="1:7">
      <c r="A123">
        <v>122</v>
      </c>
      <c r="B123" t="s">
        <v>6</v>
      </c>
      <c r="C123">
        <v>38</v>
      </c>
      <c r="D123">
        <v>67</v>
      </c>
      <c r="E123">
        <v>40</v>
      </c>
      <c r="G123">
        <f t="shared" si="1"/>
        <v>67000</v>
      </c>
    </row>
    <row r="124" spans="1:7">
      <c r="A124">
        <v>123</v>
      </c>
      <c r="B124" t="s">
        <v>6</v>
      </c>
      <c r="C124">
        <v>40</v>
      </c>
      <c r="D124">
        <v>69</v>
      </c>
      <c r="E124">
        <v>58</v>
      </c>
      <c r="G124">
        <f t="shared" si="1"/>
        <v>69000</v>
      </c>
    </row>
    <row r="125" spans="1:7">
      <c r="A125">
        <v>124</v>
      </c>
      <c r="B125" t="s">
        <v>5</v>
      </c>
      <c r="C125">
        <v>39</v>
      </c>
      <c r="D125">
        <v>69</v>
      </c>
      <c r="E125">
        <v>91</v>
      </c>
      <c r="G125">
        <f t="shared" si="1"/>
        <v>69000</v>
      </c>
    </row>
    <row r="126" spans="1:7">
      <c r="A126">
        <v>125</v>
      </c>
      <c r="B126" t="s">
        <v>6</v>
      </c>
      <c r="C126">
        <v>23</v>
      </c>
      <c r="D126">
        <v>70</v>
      </c>
      <c r="E126">
        <v>29</v>
      </c>
      <c r="G126">
        <f t="shared" si="1"/>
        <v>70000</v>
      </c>
    </row>
    <row r="127" spans="1:7">
      <c r="A127">
        <v>126</v>
      </c>
      <c r="B127" t="s">
        <v>6</v>
      </c>
      <c r="C127">
        <v>31</v>
      </c>
      <c r="D127">
        <v>70</v>
      </c>
      <c r="E127">
        <v>77</v>
      </c>
      <c r="G127">
        <f t="shared" si="1"/>
        <v>70000</v>
      </c>
    </row>
    <row r="128" spans="1:7">
      <c r="A128">
        <v>127</v>
      </c>
      <c r="B128" t="s">
        <v>5</v>
      </c>
      <c r="C128">
        <v>43</v>
      </c>
      <c r="D128">
        <v>71</v>
      </c>
      <c r="E128">
        <v>35</v>
      </c>
      <c r="G128">
        <f t="shared" si="1"/>
        <v>71000</v>
      </c>
    </row>
    <row r="129" spans="1:7">
      <c r="A129">
        <v>128</v>
      </c>
      <c r="B129" t="s">
        <v>5</v>
      </c>
      <c r="C129">
        <v>40</v>
      </c>
      <c r="D129">
        <v>71</v>
      </c>
      <c r="E129">
        <v>95</v>
      </c>
      <c r="G129">
        <f t="shared" si="1"/>
        <v>71000</v>
      </c>
    </row>
    <row r="130" spans="1:7">
      <c r="A130">
        <v>129</v>
      </c>
      <c r="B130" t="s">
        <v>5</v>
      </c>
      <c r="C130">
        <v>59</v>
      </c>
      <c r="D130">
        <v>71</v>
      </c>
      <c r="E130">
        <v>11</v>
      </c>
      <c r="G130">
        <f t="shared" si="1"/>
        <v>71000</v>
      </c>
    </row>
    <row r="131" spans="1:7">
      <c r="A131">
        <v>130</v>
      </c>
      <c r="B131" t="s">
        <v>5</v>
      </c>
      <c r="C131">
        <v>38</v>
      </c>
      <c r="D131">
        <v>71</v>
      </c>
      <c r="E131">
        <v>75</v>
      </c>
      <c r="G131">
        <f t="shared" ref="G131:G194" si="2">D131*1000</f>
        <v>71000</v>
      </c>
    </row>
    <row r="132" spans="1:7">
      <c r="A132">
        <v>131</v>
      </c>
      <c r="B132" t="s">
        <v>5</v>
      </c>
      <c r="C132">
        <v>47</v>
      </c>
      <c r="D132">
        <v>71</v>
      </c>
      <c r="E132">
        <v>9</v>
      </c>
      <c r="G132">
        <f t="shared" si="2"/>
        <v>71000</v>
      </c>
    </row>
    <row r="133" spans="1:7">
      <c r="A133">
        <v>132</v>
      </c>
      <c r="B133" t="s">
        <v>5</v>
      </c>
      <c r="C133">
        <v>39</v>
      </c>
      <c r="D133">
        <v>71</v>
      </c>
      <c r="E133">
        <v>75</v>
      </c>
      <c r="G133">
        <f t="shared" si="2"/>
        <v>71000</v>
      </c>
    </row>
    <row r="134" spans="1:7">
      <c r="A134">
        <v>133</v>
      </c>
      <c r="B134" t="s">
        <v>6</v>
      </c>
      <c r="C134">
        <v>25</v>
      </c>
      <c r="D134">
        <v>72</v>
      </c>
      <c r="E134">
        <v>34</v>
      </c>
      <c r="G134">
        <f t="shared" si="2"/>
        <v>72000</v>
      </c>
    </row>
    <row r="135" spans="1:7">
      <c r="A135">
        <v>134</v>
      </c>
      <c r="B135" t="s">
        <v>6</v>
      </c>
      <c r="C135">
        <v>31</v>
      </c>
      <c r="D135">
        <v>72</v>
      </c>
      <c r="E135">
        <v>71</v>
      </c>
      <c r="G135">
        <f t="shared" si="2"/>
        <v>72000</v>
      </c>
    </row>
    <row r="136" spans="1:7">
      <c r="A136">
        <v>135</v>
      </c>
      <c r="B136" t="s">
        <v>5</v>
      </c>
      <c r="C136">
        <v>20</v>
      </c>
      <c r="D136">
        <v>73</v>
      </c>
      <c r="E136">
        <v>5</v>
      </c>
      <c r="G136">
        <f t="shared" si="2"/>
        <v>73000</v>
      </c>
    </row>
    <row r="137" spans="1:7">
      <c r="A137">
        <v>136</v>
      </c>
      <c r="B137" t="s">
        <v>6</v>
      </c>
      <c r="C137">
        <v>29</v>
      </c>
      <c r="D137">
        <v>73</v>
      </c>
      <c r="E137">
        <v>88</v>
      </c>
      <c r="G137">
        <f t="shared" si="2"/>
        <v>73000</v>
      </c>
    </row>
    <row r="138" spans="1:7">
      <c r="A138">
        <v>137</v>
      </c>
      <c r="B138" t="s">
        <v>6</v>
      </c>
      <c r="C138">
        <v>44</v>
      </c>
      <c r="D138">
        <v>73</v>
      </c>
      <c r="E138">
        <v>7</v>
      </c>
      <c r="G138">
        <f t="shared" si="2"/>
        <v>73000</v>
      </c>
    </row>
    <row r="139" spans="1:7">
      <c r="A139">
        <v>138</v>
      </c>
      <c r="B139" t="s">
        <v>5</v>
      </c>
      <c r="C139">
        <v>32</v>
      </c>
      <c r="D139">
        <v>73</v>
      </c>
      <c r="E139">
        <v>73</v>
      </c>
      <c r="G139">
        <f t="shared" si="2"/>
        <v>73000</v>
      </c>
    </row>
    <row r="140" spans="1:7">
      <c r="A140">
        <v>139</v>
      </c>
      <c r="B140" t="s">
        <v>5</v>
      </c>
      <c r="C140">
        <v>19</v>
      </c>
      <c r="D140">
        <v>74</v>
      </c>
      <c r="E140">
        <v>10</v>
      </c>
      <c r="G140">
        <f t="shared" si="2"/>
        <v>74000</v>
      </c>
    </row>
    <row r="141" spans="1:7">
      <c r="A141">
        <v>140</v>
      </c>
      <c r="B141" t="s">
        <v>6</v>
      </c>
      <c r="C141">
        <v>35</v>
      </c>
      <c r="D141">
        <v>74</v>
      </c>
      <c r="E141">
        <v>72</v>
      </c>
      <c r="G141">
        <f t="shared" si="2"/>
        <v>74000</v>
      </c>
    </row>
    <row r="142" spans="1:7">
      <c r="A142">
        <v>141</v>
      </c>
      <c r="B142" t="s">
        <v>6</v>
      </c>
      <c r="C142">
        <v>57</v>
      </c>
      <c r="D142">
        <v>75</v>
      </c>
      <c r="E142">
        <v>5</v>
      </c>
      <c r="G142">
        <f t="shared" si="2"/>
        <v>75000</v>
      </c>
    </row>
    <row r="143" spans="1:7">
      <c r="A143">
        <v>142</v>
      </c>
      <c r="B143" t="s">
        <v>5</v>
      </c>
      <c r="C143">
        <v>32</v>
      </c>
      <c r="D143">
        <v>75</v>
      </c>
      <c r="E143">
        <v>93</v>
      </c>
      <c r="G143">
        <f t="shared" si="2"/>
        <v>75000</v>
      </c>
    </row>
    <row r="144" spans="1:7">
      <c r="A144">
        <v>143</v>
      </c>
      <c r="B144" t="s">
        <v>6</v>
      </c>
      <c r="C144">
        <v>28</v>
      </c>
      <c r="D144">
        <v>76</v>
      </c>
      <c r="E144">
        <v>40</v>
      </c>
      <c r="G144">
        <f t="shared" si="2"/>
        <v>76000</v>
      </c>
    </row>
    <row r="145" spans="1:7">
      <c r="A145">
        <v>144</v>
      </c>
      <c r="B145" t="s">
        <v>6</v>
      </c>
      <c r="C145">
        <v>32</v>
      </c>
      <c r="D145">
        <v>76</v>
      </c>
      <c r="E145">
        <v>87</v>
      </c>
      <c r="G145">
        <f t="shared" si="2"/>
        <v>76000</v>
      </c>
    </row>
    <row r="146" spans="1:7">
      <c r="A146">
        <v>145</v>
      </c>
      <c r="B146" t="s">
        <v>5</v>
      </c>
      <c r="C146">
        <v>25</v>
      </c>
      <c r="D146">
        <v>77</v>
      </c>
      <c r="E146">
        <v>12</v>
      </c>
      <c r="G146">
        <f t="shared" si="2"/>
        <v>77000</v>
      </c>
    </row>
    <row r="147" spans="1:7">
      <c r="A147">
        <v>146</v>
      </c>
      <c r="B147" t="s">
        <v>5</v>
      </c>
      <c r="C147">
        <v>28</v>
      </c>
      <c r="D147">
        <v>77</v>
      </c>
      <c r="E147">
        <v>97</v>
      </c>
      <c r="G147">
        <f t="shared" si="2"/>
        <v>77000</v>
      </c>
    </row>
    <row r="148" spans="1:7">
      <c r="A148">
        <v>147</v>
      </c>
      <c r="B148" t="s">
        <v>5</v>
      </c>
      <c r="C148">
        <v>48</v>
      </c>
      <c r="D148">
        <v>77</v>
      </c>
      <c r="E148">
        <v>36</v>
      </c>
      <c r="G148">
        <f t="shared" si="2"/>
        <v>77000</v>
      </c>
    </row>
    <row r="149" spans="1:7">
      <c r="A149">
        <v>148</v>
      </c>
      <c r="B149" t="s">
        <v>6</v>
      </c>
      <c r="C149">
        <v>32</v>
      </c>
      <c r="D149">
        <v>77</v>
      </c>
      <c r="E149">
        <v>74</v>
      </c>
      <c r="G149">
        <f t="shared" si="2"/>
        <v>77000</v>
      </c>
    </row>
    <row r="150" spans="1:7">
      <c r="A150">
        <v>149</v>
      </c>
      <c r="B150" t="s">
        <v>6</v>
      </c>
      <c r="C150">
        <v>34</v>
      </c>
      <c r="D150">
        <v>78</v>
      </c>
      <c r="E150">
        <v>22</v>
      </c>
      <c r="G150">
        <f t="shared" si="2"/>
        <v>78000</v>
      </c>
    </row>
    <row r="151" spans="1:7">
      <c r="A151">
        <v>150</v>
      </c>
      <c r="B151" t="s">
        <v>5</v>
      </c>
      <c r="C151">
        <v>34</v>
      </c>
      <c r="D151">
        <v>78</v>
      </c>
      <c r="E151">
        <v>90</v>
      </c>
      <c r="G151">
        <f t="shared" si="2"/>
        <v>78000</v>
      </c>
    </row>
    <row r="152" spans="1:7">
      <c r="A152">
        <v>151</v>
      </c>
      <c r="B152" t="s">
        <v>5</v>
      </c>
      <c r="C152">
        <v>43</v>
      </c>
      <c r="D152">
        <v>78</v>
      </c>
      <c r="E152">
        <v>17</v>
      </c>
      <c r="G152">
        <f t="shared" si="2"/>
        <v>78000</v>
      </c>
    </row>
    <row r="153" spans="1:7">
      <c r="A153">
        <v>152</v>
      </c>
      <c r="B153" t="s">
        <v>5</v>
      </c>
      <c r="C153">
        <v>39</v>
      </c>
      <c r="D153">
        <v>78</v>
      </c>
      <c r="E153">
        <v>88</v>
      </c>
      <c r="G153">
        <f t="shared" si="2"/>
        <v>78000</v>
      </c>
    </row>
    <row r="154" spans="1:7">
      <c r="A154">
        <v>153</v>
      </c>
      <c r="B154" t="s">
        <v>6</v>
      </c>
      <c r="C154">
        <v>44</v>
      </c>
      <c r="D154">
        <v>78</v>
      </c>
      <c r="E154">
        <v>20</v>
      </c>
      <c r="G154">
        <f t="shared" si="2"/>
        <v>78000</v>
      </c>
    </row>
    <row r="155" spans="1:7">
      <c r="A155">
        <v>154</v>
      </c>
      <c r="B155" t="s">
        <v>6</v>
      </c>
      <c r="C155">
        <v>38</v>
      </c>
      <c r="D155">
        <v>78</v>
      </c>
      <c r="E155">
        <v>76</v>
      </c>
      <c r="G155">
        <f t="shared" si="2"/>
        <v>78000</v>
      </c>
    </row>
    <row r="156" spans="1:7">
      <c r="A156">
        <v>155</v>
      </c>
      <c r="B156" t="s">
        <v>6</v>
      </c>
      <c r="C156">
        <v>47</v>
      </c>
      <c r="D156">
        <v>78</v>
      </c>
      <c r="E156">
        <v>16</v>
      </c>
      <c r="G156">
        <f t="shared" si="2"/>
        <v>78000</v>
      </c>
    </row>
    <row r="157" spans="1:7">
      <c r="A157">
        <v>156</v>
      </c>
      <c r="B157" t="s">
        <v>6</v>
      </c>
      <c r="C157">
        <v>27</v>
      </c>
      <c r="D157">
        <v>78</v>
      </c>
      <c r="E157">
        <v>89</v>
      </c>
      <c r="G157">
        <f t="shared" si="2"/>
        <v>78000</v>
      </c>
    </row>
    <row r="158" spans="1:7">
      <c r="A158">
        <v>157</v>
      </c>
      <c r="B158" t="s">
        <v>5</v>
      </c>
      <c r="C158">
        <v>37</v>
      </c>
      <c r="D158">
        <v>78</v>
      </c>
      <c r="E158">
        <v>1</v>
      </c>
      <c r="G158">
        <f t="shared" si="2"/>
        <v>78000</v>
      </c>
    </row>
    <row r="159" spans="1:7">
      <c r="A159">
        <v>158</v>
      </c>
      <c r="B159" t="s">
        <v>6</v>
      </c>
      <c r="C159">
        <v>30</v>
      </c>
      <c r="D159">
        <v>78</v>
      </c>
      <c r="E159">
        <v>78</v>
      </c>
      <c r="G159">
        <f t="shared" si="2"/>
        <v>78000</v>
      </c>
    </row>
    <row r="160" spans="1:7">
      <c r="A160">
        <v>159</v>
      </c>
      <c r="B160" t="s">
        <v>5</v>
      </c>
      <c r="C160">
        <v>34</v>
      </c>
      <c r="D160">
        <v>78</v>
      </c>
      <c r="E160">
        <v>1</v>
      </c>
      <c r="G160">
        <f t="shared" si="2"/>
        <v>78000</v>
      </c>
    </row>
    <row r="161" spans="1:7">
      <c r="A161">
        <v>160</v>
      </c>
      <c r="B161" t="s">
        <v>6</v>
      </c>
      <c r="C161">
        <v>30</v>
      </c>
      <c r="D161">
        <v>78</v>
      </c>
      <c r="E161">
        <v>73</v>
      </c>
      <c r="G161">
        <f t="shared" si="2"/>
        <v>78000</v>
      </c>
    </row>
    <row r="162" spans="1:7">
      <c r="A162">
        <v>161</v>
      </c>
      <c r="B162" t="s">
        <v>6</v>
      </c>
      <c r="C162">
        <v>56</v>
      </c>
      <c r="D162">
        <v>79</v>
      </c>
      <c r="E162">
        <v>35</v>
      </c>
      <c r="G162">
        <f t="shared" si="2"/>
        <v>79000</v>
      </c>
    </row>
    <row r="163" spans="1:7">
      <c r="A163">
        <v>162</v>
      </c>
      <c r="B163" t="s">
        <v>6</v>
      </c>
      <c r="C163">
        <v>29</v>
      </c>
      <c r="D163">
        <v>79</v>
      </c>
      <c r="E163">
        <v>83</v>
      </c>
      <c r="G163">
        <f t="shared" si="2"/>
        <v>79000</v>
      </c>
    </row>
    <row r="164" spans="1:7">
      <c r="A164">
        <v>163</v>
      </c>
      <c r="B164" t="s">
        <v>5</v>
      </c>
      <c r="C164">
        <v>19</v>
      </c>
      <c r="D164">
        <v>81</v>
      </c>
      <c r="E164">
        <v>5</v>
      </c>
      <c r="G164">
        <f t="shared" si="2"/>
        <v>81000</v>
      </c>
    </row>
    <row r="165" spans="1:7">
      <c r="A165">
        <v>164</v>
      </c>
      <c r="B165" t="s">
        <v>6</v>
      </c>
      <c r="C165">
        <v>31</v>
      </c>
      <c r="D165">
        <v>81</v>
      </c>
      <c r="E165">
        <v>93</v>
      </c>
      <c r="G165">
        <f t="shared" si="2"/>
        <v>81000</v>
      </c>
    </row>
    <row r="166" spans="1:7">
      <c r="A166">
        <v>165</v>
      </c>
      <c r="B166" t="s">
        <v>5</v>
      </c>
      <c r="C166">
        <v>50</v>
      </c>
      <c r="D166">
        <v>85</v>
      </c>
      <c r="E166">
        <v>26</v>
      </c>
      <c r="G166">
        <f t="shared" si="2"/>
        <v>85000</v>
      </c>
    </row>
    <row r="167" spans="1:7">
      <c r="A167">
        <v>166</v>
      </c>
      <c r="B167" t="s">
        <v>6</v>
      </c>
      <c r="C167">
        <v>36</v>
      </c>
      <c r="D167">
        <v>85</v>
      </c>
      <c r="E167">
        <v>75</v>
      </c>
      <c r="G167">
        <f t="shared" si="2"/>
        <v>85000</v>
      </c>
    </row>
    <row r="168" spans="1:7">
      <c r="A168">
        <v>167</v>
      </c>
      <c r="B168" t="s">
        <v>5</v>
      </c>
      <c r="C168">
        <v>42</v>
      </c>
      <c r="D168">
        <v>86</v>
      </c>
      <c r="E168">
        <v>20</v>
      </c>
      <c r="G168">
        <f t="shared" si="2"/>
        <v>86000</v>
      </c>
    </row>
    <row r="169" spans="1:7">
      <c r="A169">
        <v>168</v>
      </c>
      <c r="B169" t="s">
        <v>6</v>
      </c>
      <c r="C169">
        <v>33</v>
      </c>
      <c r="D169">
        <v>86</v>
      </c>
      <c r="E169">
        <v>95</v>
      </c>
      <c r="G169">
        <f t="shared" si="2"/>
        <v>86000</v>
      </c>
    </row>
    <row r="170" spans="1:7">
      <c r="A170">
        <v>169</v>
      </c>
      <c r="B170" t="s">
        <v>6</v>
      </c>
      <c r="C170">
        <v>36</v>
      </c>
      <c r="D170">
        <v>87</v>
      </c>
      <c r="E170">
        <v>27</v>
      </c>
      <c r="G170">
        <f t="shared" si="2"/>
        <v>87000</v>
      </c>
    </row>
    <row r="171" spans="1:7">
      <c r="A171">
        <v>170</v>
      </c>
      <c r="B171" t="s">
        <v>5</v>
      </c>
      <c r="C171">
        <v>32</v>
      </c>
      <c r="D171">
        <v>87</v>
      </c>
      <c r="E171">
        <v>63</v>
      </c>
      <c r="G171">
        <f t="shared" si="2"/>
        <v>87000</v>
      </c>
    </row>
    <row r="172" spans="1:7">
      <c r="A172">
        <v>171</v>
      </c>
      <c r="B172" t="s">
        <v>5</v>
      </c>
      <c r="C172">
        <v>40</v>
      </c>
      <c r="D172">
        <v>87</v>
      </c>
      <c r="E172">
        <v>13</v>
      </c>
      <c r="G172">
        <f t="shared" si="2"/>
        <v>87000</v>
      </c>
    </row>
    <row r="173" spans="1:7">
      <c r="A173">
        <v>172</v>
      </c>
      <c r="B173" t="s">
        <v>5</v>
      </c>
      <c r="C173">
        <v>28</v>
      </c>
      <c r="D173">
        <v>87</v>
      </c>
      <c r="E173">
        <v>75</v>
      </c>
      <c r="G173">
        <f t="shared" si="2"/>
        <v>87000</v>
      </c>
    </row>
    <row r="174" spans="1:7">
      <c r="A174">
        <v>173</v>
      </c>
      <c r="B174" t="s">
        <v>5</v>
      </c>
      <c r="C174">
        <v>36</v>
      </c>
      <c r="D174">
        <v>87</v>
      </c>
      <c r="E174">
        <v>10</v>
      </c>
      <c r="G174">
        <f t="shared" si="2"/>
        <v>87000</v>
      </c>
    </row>
    <row r="175" spans="1:7">
      <c r="A175">
        <v>174</v>
      </c>
      <c r="B175" t="s">
        <v>5</v>
      </c>
      <c r="C175">
        <v>36</v>
      </c>
      <c r="D175">
        <v>87</v>
      </c>
      <c r="E175">
        <v>92</v>
      </c>
      <c r="G175">
        <f t="shared" si="2"/>
        <v>87000</v>
      </c>
    </row>
    <row r="176" spans="1:7">
      <c r="A176">
        <v>175</v>
      </c>
      <c r="B176" t="s">
        <v>6</v>
      </c>
      <c r="C176">
        <v>52</v>
      </c>
      <c r="D176">
        <v>88</v>
      </c>
      <c r="E176">
        <v>13</v>
      </c>
      <c r="G176">
        <f t="shared" si="2"/>
        <v>88000</v>
      </c>
    </row>
    <row r="177" spans="1:7">
      <c r="A177">
        <v>176</v>
      </c>
      <c r="B177" t="s">
        <v>6</v>
      </c>
      <c r="C177">
        <v>30</v>
      </c>
      <c r="D177">
        <v>88</v>
      </c>
      <c r="E177">
        <v>86</v>
      </c>
      <c r="G177">
        <f t="shared" si="2"/>
        <v>88000</v>
      </c>
    </row>
    <row r="178" spans="1:7">
      <c r="A178">
        <v>177</v>
      </c>
      <c r="B178" t="s">
        <v>5</v>
      </c>
      <c r="C178">
        <v>58</v>
      </c>
      <c r="D178">
        <v>88</v>
      </c>
      <c r="E178">
        <v>15</v>
      </c>
      <c r="G178">
        <f t="shared" si="2"/>
        <v>88000</v>
      </c>
    </row>
    <row r="179" spans="1:7">
      <c r="A179">
        <v>178</v>
      </c>
      <c r="B179" t="s">
        <v>5</v>
      </c>
      <c r="C179">
        <v>27</v>
      </c>
      <c r="D179">
        <v>88</v>
      </c>
      <c r="E179">
        <v>69</v>
      </c>
      <c r="G179">
        <f t="shared" si="2"/>
        <v>88000</v>
      </c>
    </row>
    <row r="180" spans="1:7">
      <c r="A180">
        <v>179</v>
      </c>
      <c r="B180" t="s">
        <v>5</v>
      </c>
      <c r="C180">
        <v>59</v>
      </c>
      <c r="D180">
        <v>93</v>
      </c>
      <c r="E180">
        <v>14</v>
      </c>
      <c r="G180">
        <f t="shared" si="2"/>
        <v>93000</v>
      </c>
    </row>
    <row r="181" spans="1:7">
      <c r="A181">
        <v>180</v>
      </c>
      <c r="B181" t="s">
        <v>5</v>
      </c>
      <c r="C181">
        <v>35</v>
      </c>
      <c r="D181">
        <v>93</v>
      </c>
      <c r="E181">
        <v>90</v>
      </c>
      <c r="G181">
        <f t="shared" si="2"/>
        <v>93000</v>
      </c>
    </row>
    <row r="182" spans="1:7">
      <c r="A182">
        <v>181</v>
      </c>
      <c r="B182" t="s">
        <v>6</v>
      </c>
      <c r="C182">
        <v>37</v>
      </c>
      <c r="D182">
        <v>97</v>
      </c>
      <c r="E182">
        <v>32</v>
      </c>
      <c r="G182">
        <f t="shared" si="2"/>
        <v>97000</v>
      </c>
    </row>
    <row r="183" spans="1:7">
      <c r="A183">
        <v>182</v>
      </c>
      <c r="B183" t="s">
        <v>6</v>
      </c>
      <c r="C183">
        <v>32</v>
      </c>
      <c r="D183">
        <v>97</v>
      </c>
      <c r="E183">
        <v>86</v>
      </c>
      <c r="G183">
        <f t="shared" si="2"/>
        <v>97000</v>
      </c>
    </row>
    <row r="184" spans="1:7">
      <c r="A184">
        <v>183</v>
      </c>
      <c r="B184" t="s">
        <v>5</v>
      </c>
      <c r="C184">
        <v>46</v>
      </c>
      <c r="D184">
        <v>98</v>
      </c>
      <c r="E184">
        <v>15</v>
      </c>
      <c r="G184">
        <f t="shared" si="2"/>
        <v>98000</v>
      </c>
    </row>
    <row r="185" spans="1:7">
      <c r="A185">
        <v>184</v>
      </c>
      <c r="B185" t="s">
        <v>6</v>
      </c>
      <c r="C185">
        <v>29</v>
      </c>
      <c r="D185">
        <v>98</v>
      </c>
      <c r="E185">
        <v>88</v>
      </c>
      <c r="G185">
        <f t="shared" si="2"/>
        <v>98000</v>
      </c>
    </row>
    <row r="186" spans="1:7">
      <c r="A186">
        <v>185</v>
      </c>
      <c r="B186" t="s">
        <v>6</v>
      </c>
      <c r="C186">
        <v>41</v>
      </c>
      <c r="D186">
        <v>99</v>
      </c>
      <c r="E186">
        <v>39</v>
      </c>
      <c r="G186">
        <f t="shared" si="2"/>
        <v>99000</v>
      </c>
    </row>
    <row r="187" spans="1:7">
      <c r="A187">
        <v>186</v>
      </c>
      <c r="B187" t="s">
        <v>5</v>
      </c>
      <c r="C187">
        <v>30</v>
      </c>
      <c r="D187">
        <v>99</v>
      </c>
      <c r="E187">
        <v>97</v>
      </c>
      <c r="G187">
        <f t="shared" si="2"/>
        <v>99000</v>
      </c>
    </row>
    <row r="188" spans="1:7">
      <c r="A188">
        <v>187</v>
      </c>
      <c r="B188" t="s">
        <v>6</v>
      </c>
      <c r="C188">
        <v>54</v>
      </c>
      <c r="D188">
        <v>101</v>
      </c>
      <c r="E188">
        <v>24</v>
      </c>
      <c r="G188">
        <f t="shared" si="2"/>
        <v>101000</v>
      </c>
    </row>
    <row r="189" spans="1:7">
      <c r="A189">
        <v>188</v>
      </c>
      <c r="B189" t="s">
        <v>5</v>
      </c>
      <c r="C189">
        <v>28</v>
      </c>
      <c r="D189">
        <v>101</v>
      </c>
      <c r="E189">
        <v>68</v>
      </c>
      <c r="G189">
        <f t="shared" si="2"/>
        <v>101000</v>
      </c>
    </row>
    <row r="190" spans="1:7">
      <c r="A190">
        <v>189</v>
      </c>
      <c r="B190" t="s">
        <v>6</v>
      </c>
      <c r="C190">
        <v>41</v>
      </c>
      <c r="D190">
        <v>103</v>
      </c>
      <c r="E190">
        <v>17</v>
      </c>
      <c r="G190">
        <f t="shared" si="2"/>
        <v>103000</v>
      </c>
    </row>
    <row r="191" spans="1:7">
      <c r="A191">
        <v>190</v>
      </c>
      <c r="B191" t="s">
        <v>6</v>
      </c>
      <c r="C191">
        <v>36</v>
      </c>
      <c r="D191">
        <v>103</v>
      </c>
      <c r="E191">
        <v>85</v>
      </c>
      <c r="G191">
        <f t="shared" si="2"/>
        <v>103000</v>
      </c>
    </row>
    <row r="192" spans="1:7">
      <c r="A192">
        <v>191</v>
      </c>
      <c r="B192" t="s">
        <v>6</v>
      </c>
      <c r="C192">
        <v>34</v>
      </c>
      <c r="D192">
        <v>103</v>
      </c>
      <c r="E192">
        <v>23</v>
      </c>
      <c r="G192">
        <f t="shared" si="2"/>
        <v>103000</v>
      </c>
    </row>
    <row r="193" spans="1:7">
      <c r="A193">
        <v>192</v>
      </c>
      <c r="B193" t="s">
        <v>6</v>
      </c>
      <c r="C193">
        <v>32</v>
      </c>
      <c r="D193">
        <v>103</v>
      </c>
      <c r="E193">
        <v>69</v>
      </c>
      <c r="G193">
        <f t="shared" si="2"/>
        <v>103000</v>
      </c>
    </row>
    <row r="194" spans="1:7">
      <c r="A194">
        <v>193</v>
      </c>
      <c r="B194" t="s">
        <v>5</v>
      </c>
      <c r="C194">
        <v>33</v>
      </c>
      <c r="D194">
        <v>113</v>
      </c>
      <c r="E194">
        <v>8</v>
      </c>
      <c r="G194">
        <f t="shared" si="2"/>
        <v>113000</v>
      </c>
    </row>
    <row r="195" spans="1:7">
      <c r="A195">
        <v>194</v>
      </c>
      <c r="B195" t="s">
        <v>6</v>
      </c>
      <c r="C195">
        <v>38</v>
      </c>
      <c r="D195">
        <v>113</v>
      </c>
      <c r="E195">
        <v>91</v>
      </c>
      <c r="G195">
        <f t="shared" ref="G195:G201" si="3">D195*1000</f>
        <v>113000</v>
      </c>
    </row>
    <row r="196" spans="1:7">
      <c r="A196">
        <v>195</v>
      </c>
      <c r="B196" t="s">
        <v>6</v>
      </c>
      <c r="C196">
        <v>47</v>
      </c>
      <c r="D196">
        <v>120</v>
      </c>
      <c r="E196">
        <v>16</v>
      </c>
      <c r="G196">
        <f t="shared" si="3"/>
        <v>120000</v>
      </c>
    </row>
    <row r="197" spans="1:7">
      <c r="A197">
        <v>196</v>
      </c>
      <c r="B197" t="s">
        <v>6</v>
      </c>
      <c r="C197">
        <v>35</v>
      </c>
      <c r="D197">
        <v>120</v>
      </c>
      <c r="E197">
        <v>79</v>
      </c>
      <c r="G197">
        <f t="shared" si="3"/>
        <v>120000</v>
      </c>
    </row>
    <row r="198" spans="1:7">
      <c r="A198">
        <v>197</v>
      </c>
      <c r="B198" t="s">
        <v>6</v>
      </c>
      <c r="C198">
        <v>45</v>
      </c>
      <c r="D198">
        <v>126</v>
      </c>
      <c r="E198">
        <v>28</v>
      </c>
      <c r="G198">
        <f t="shared" si="3"/>
        <v>126000</v>
      </c>
    </row>
    <row r="199" spans="1:7">
      <c r="A199">
        <v>198</v>
      </c>
      <c r="B199" t="s">
        <v>5</v>
      </c>
      <c r="C199">
        <v>32</v>
      </c>
      <c r="D199">
        <v>126</v>
      </c>
      <c r="E199">
        <v>74</v>
      </c>
      <c r="G199">
        <f t="shared" si="3"/>
        <v>126000</v>
      </c>
    </row>
    <row r="200" spans="1:7">
      <c r="A200">
        <v>199</v>
      </c>
      <c r="B200" t="s">
        <v>5</v>
      </c>
      <c r="C200">
        <v>32</v>
      </c>
      <c r="D200">
        <v>137</v>
      </c>
      <c r="E200">
        <v>18</v>
      </c>
      <c r="G200">
        <f t="shared" si="3"/>
        <v>137000</v>
      </c>
    </row>
    <row r="201" spans="1:7">
      <c r="A201">
        <v>200</v>
      </c>
      <c r="B201" t="s">
        <v>5</v>
      </c>
      <c r="C201">
        <v>30</v>
      </c>
      <c r="D201">
        <v>137</v>
      </c>
      <c r="E201">
        <v>83</v>
      </c>
      <c r="G201">
        <f t="shared" si="3"/>
        <v>137000</v>
      </c>
    </row>
  </sheetData>
  <autoFilter ref="A1:E201" xr:uid="{00000000-0009-0000-0000-000000000000}"/>
  <pageMargins left="0.75" right="0.75" top="1" bottom="1" header="0.5" footer="0.5"/>
  <pageSetup orientation="portrait" horizontalDpi="0" verticalDpi="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F201"/>
  <sheetViews>
    <sheetView workbookViewId="0">
      <selection activeCell="C32" sqref="C32"/>
    </sheetView>
  </sheetViews>
  <sheetFormatPr baseColWidth="10" defaultRowHeight="16"/>
  <cols>
    <col min="1" max="1" width="16.5" customWidth="1"/>
    <col min="2" max="2" width="23.83203125" customWidth="1"/>
    <col min="3" max="3" width="26.83203125" customWidth="1"/>
    <col min="4" max="4" width="24.83203125" customWidth="1"/>
    <col min="13" max="13" width="36.6640625" customWidth="1"/>
  </cols>
  <sheetData>
    <row r="1" spans="1:6">
      <c r="A1" t="s">
        <v>1</v>
      </c>
      <c r="B1" t="s">
        <v>3</v>
      </c>
      <c r="C1" t="s">
        <v>4</v>
      </c>
    </row>
    <row r="2" spans="1:6">
      <c r="A2" t="s">
        <v>5</v>
      </c>
      <c r="B2">
        <v>15</v>
      </c>
      <c r="C2">
        <v>39</v>
      </c>
      <c r="D2" t="s">
        <v>5</v>
      </c>
      <c r="E2">
        <f>COUNTIF(A2:A201, "Male")</f>
        <v>88</v>
      </c>
    </row>
    <row r="3" spans="1:6">
      <c r="A3" t="s">
        <v>5</v>
      </c>
      <c r="B3">
        <v>15</v>
      </c>
      <c r="C3">
        <v>81</v>
      </c>
      <c r="D3" t="s">
        <v>6</v>
      </c>
      <c r="E3">
        <f>COUNTIF(A2:A201, "Female")</f>
        <v>112</v>
      </c>
    </row>
    <row r="4" spans="1:6">
      <c r="A4" t="s">
        <v>6</v>
      </c>
      <c r="B4">
        <v>16</v>
      </c>
      <c r="C4">
        <v>6</v>
      </c>
      <c r="D4" t="s">
        <v>9</v>
      </c>
      <c r="E4">
        <f>E2+E3</f>
        <v>200</v>
      </c>
    </row>
    <row r="5" spans="1:6">
      <c r="A5" t="s">
        <v>6</v>
      </c>
      <c r="B5">
        <v>16</v>
      </c>
      <c r="C5">
        <v>77</v>
      </c>
      <c r="D5" t="s">
        <v>7</v>
      </c>
      <c r="E5" s="1">
        <f>E2/E4</f>
        <v>0.44</v>
      </c>
    </row>
    <row r="6" spans="1:6">
      <c r="A6" t="s">
        <v>6</v>
      </c>
      <c r="B6">
        <v>17</v>
      </c>
      <c r="C6">
        <v>40</v>
      </c>
      <c r="D6" t="s">
        <v>8</v>
      </c>
      <c r="E6" s="1">
        <f>E3/E4</f>
        <v>0.56000000000000005</v>
      </c>
    </row>
    <row r="7" spans="1:6">
      <c r="A7" t="s">
        <v>6</v>
      </c>
      <c r="B7">
        <v>17</v>
      </c>
      <c r="C7">
        <v>76</v>
      </c>
      <c r="D7" s="4" t="s">
        <v>11</v>
      </c>
    </row>
    <row r="8" spans="1:6">
      <c r="A8" t="s">
        <v>6</v>
      </c>
      <c r="B8">
        <v>18</v>
      </c>
      <c r="C8">
        <v>6</v>
      </c>
      <c r="D8" t="s">
        <v>10</v>
      </c>
      <c r="E8">
        <f>ROUNDUP(F8, 0)</f>
        <v>49</v>
      </c>
      <c r="F8">
        <f>AVERAGEIF(A2:A201, "Male", C2:C201)</f>
        <v>48.511363636363633</v>
      </c>
    </row>
    <row r="9" spans="1:6">
      <c r="A9" t="s">
        <v>6</v>
      </c>
      <c r="B9">
        <v>18</v>
      </c>
      <c r="C9">
        <v>94</v>
      </c>
      <c r="D9" t="s">
        <v>12</v>
      </c>
      <c r="E9" s="3">
        <f>ROUNDUP(F9,0)</f>
        <v>52</v>
      </c>
      <c r="F9" s="2">
        <f>AVERAGEIF(A2:A201, "Female", C2:C201)</f>
        <v>51.526785714285715</v>
      </c>
    </row>
    <row r="10" spans="1:6">
      <c r="A10" t="s">
        <v>5</v>
      </c>
      <c r="B10">
        <v>19</v>
      </c>
      <c r="C10">
        <v>3</v>
      </c>
    </row>
    <row r="11" spans="1:6">
      <c r="A11" t="s">
        <v>6</v>
      </c>
      <c r="B11">
        <v>19</v>
      </c>
      <c r="C11">
        <v>72</v>
      </c>
      <c r="D11" s="4" t="s">
        <v>13</v>
      </c>
    </row>
    <row r="12" spans="1:6">
      <c r="A12" t="s">
        <v>5</v>
      </c>
      <c r="B12">
        <v>19</v>
      </c>
      <c r="C12">
        <v>14</v>
      </c>
      <c r="D12" t="s">
        <v>10</v>
      </c>
      <c r="E12" s="7">
        <v>62227</v>
      </c>
      <c r="F12" s="6">
        <f>AVERAGEIF(A2:A201, "Male", B2:B201)</f>
        <v>62.227272727272727</v>
      </c>
    </row>
    <row r="13" spans="1:6">
      <c r="A13" t="s">
        <v>6</v>
      </c>
      <c r="B13">
        <v>19</v>
      </c>
      <c r="C13">
        <v>99</v>
      </c>
      <c r="D13" t="s">
        <v>6</v>
      </c>
      <c r="E13" s="7">
        <v>59250</v>
      </c>
      <c r="F13" s="6">
        <f>AVERAGEIF(A2:A201, "Female", B2:B201)</f>
        <v>59.25</v>
      </c>
    </row>
    <row r="14" spans="1:6">
      <c r="A14" t="s">
        <v>6</v>
      </c>
      <c r="B14">
        <v>20</v>
      </c>
      <c r="C14">
        <v>15</v>
      </c>
    </row>
    <row r="15" spans="1:6">
      <c r="A15" t="s">
        <v>6</v>
      </c>
      <c r="B15">
        <v>20</v>
      </c>
      <c r="C15">
        <v>77</v>
      </c>
    </row>
    <row r="16" spans="1:6">
      <c r="A16" t="s">
        <v>5</v>
      </c>
      <c r="B16">
        <v>20</v>
      </c>
      <c r="C16">
        <v>13</v>
      </c>
    </row>
    <row r="17" spans="1:3">
      <c r="A17" t="s">
        <v>5</v>
      </c>
      <c r="B17">
        <v>20</v>
      </c>
      <c r="C17">
        <v>79</v>
      </c>
    </row>
    <row r="18" spans="1:3">
      <c r="A18" t="s">
        <v>6</v>
      </c>
      <c r="B18">
        <v>21</v>
      </c>
      <c r="C18">
        <v>35</v>
      </c>
    </row>
    <row r="19" spans="1:3">
      <c r="A19" t="s">
        <v>5</v>
      </c>
      <c r="B19">
        <v>21</v>
      </c>
      <c r="C19">
        <v>66</v>
      </c>
    </row>
    <row r="20" spans="1:3">
      <c r="A20" t="s">
        <v>5</v>
      </c>
      <c r="B20">
        <v>23</v>
      </c>
      <c r="C20">
        <v>29</v>
      </c>
    </row>
    <row r="21" spans="1:3">
      <c r="A21" t="s">
        <v>6</v>
      </c>
      <c r="B21">
        <v>23</v>
      </c>
      <c r="C21">
        <v>98</v>
      </c>
    </row>
    <row r="22" spans="1:3">
      <c r="A22" t="s">
        <v>5</v>
      </c>
      <c r="B22">
        <v>24</v>
      </c>
      <c r="C22">
        <v>35</v>
      </c>
    </row>
    <row r="23" spans="1:3">
      <c r="A23" t="s">
        <v>5</v>
      </c>
      <c r="B23">
        <v>24</v>
      </c>
      <c r="C23">
        <v>73</v>
      </c>
    </row>
    <row r="24" spans="1:3">
      <c r="A24" t="s">
        <v>6</v>
      </c>
      <c r="B24">
        <v>25</v>
      </c>
      <c r="C24">
        <v>5</v>
      </c>
    </row>
    <row r="25" spans="1:3">
      <c r="A25" t="s">
        <v>5</v>
      </c>
      <c r="B25">
        <v>25</v>
      </c>
      <c r="C25">
        <v>73</v>
      </c>
    </row>
    <row r="26" spans="1:3">
      <c r="A26" t="s">
        <v>6</v>
      </c>
      <c r="B26">
        <v>28</v>
      </c>
      <c r="C26">
        <v>14</v>
      </c>
    </row>
    <row r="27" spans="1:3">
      <c r="A27" t="s">
        <v>5</v>
      </c>
      <c r="B27">
        <v>28</v>
      </c>
      <c r="C27">
        <v>82</v>
      </c>
    </row>
    <row r="28" spans="1:3">
      <c r="A28" t="s">
        <v>6</v>
      </c>
      <c r="B28">
        <v>28</v>
      </c>
      <c r="C28">
        <v>32</v>
      </c>
    </row>
    <row r="29" spans="1:3">
      <c r="A29" t="s">
        <v>5</v>
      </c>
      <c r="B29">
        <v>28</v>
      </c>
      <c r="C29">
        <v>61</v>
      </c>
    </row>
    <row r="30" spans="1:3">
      <c r="A30" t="s">
        <v>6</v>
      </c>
      <c r="B30">
        <v>29</v>
      </c>
      <c r="C30">
        <v>31</v>
      </c>
    </row>
    <row r="31" spans="1:3">
      <c r="A31" t="s">
        <v>6</v>
      </c>
      <c r="B31">
        <v>29</v>
      </c>
      <c r="C31">
        <v>87</v>
      </c>
    </row>
    <row r="32" spans="1:3">
      <c r="A32" t="s">
        <v>5</v>
      </c>
      <c r="B32">
        <v>30</v>
      </c>
      <c r="C32">
        <v>4</v>
      </c>
    </row>
    <row r="33" spans="1:3">
      <c r="A33" t="s">
        <v>6</v>
      </c>
      <c r="B33">
        <v>30</v>
      </c>
      <c r="C33">
        <v>73</v>
      </c>
    </row>
    <row r="34" spans="1:3">
      <c r="A34" t="s">
        <v>5</v>
      </c>
      <c r="B34">
        <v>33</v>
      </c>
      <c r="C34">
        <v>4</v>
      </c>
    </row>
    <row r="35" spans="1:3">
      <c r="A35" t="s">
        <v>5</v>
      </c>
      <c r="B35">
        <v>33</v>
      </c>
      <c r="C35">
        <v>92</v>
      </c>
    </row>
    <row r="36" spans="1:3">
      <c r="A36" t="s">
        <v>6</v>
      </c>
      <c r="B36">
        <v>33</v>
      </c>
      <c r="C36">
        <v>14</v>
      </c>
    </row>
    <row r="37" spans="1:3">
      <c r="A37" t="s">
        <v>6</v>
      </c>
      <c r="B37">
        <v>33</v>
      </c>
      <c r="C37">
        <v>81</v>
      </c>
    </row>
    <row r="38" spans="1:3">
      <c r="A38" t="s">
        <v>6</v>
      </c>
      <c r="B38">
        <v>34</v>
      </c>
      <c r="C38">
        <v>17</v>
      </c>
    </row>
    <row r="39" spans="1:3">
      <c r="A39" t="s">
        <v>6</v>
      </c>
      <c r="B39">
        <v>34</v>
      </c>
      <c r="C39">
        <v>73</v>
      </c>
    </row>
    <row r="40" spans="1:3">
      <c r="A40" t="s">
        <v>6</v>
      </c>
      <c r="B40">
        <v>37</v>
      </c>
      <c r="C40">
        <v>26</v>
      </c>
    </row>
    <row r="41" spans="1:3">
      <c r="A41" t="s">
        <v>6</v>
      </c>
      <c r="B41">
        <v>37</v>
      </c>
      <c r="C41">
        <v>75</v>
      </c>
    </row>
    <row r="42" spans="1:3">
      <c r="A42" t="s">
        <v>6</v>
      </c>
      <c r="B42">
        <v>38</v>
      </c>
      <c r="C42">
        <v>35</v>
      </c>
    </row>
    <row r="43" spans="1:3">
      <c r="A43" t="s">
        <v>5</v>
      </c>
      <c r="B43">
        <v>38</v>
      </c>
      <c r="C43">
        <v>92</v>
      </c>
    </row>
    <row r="44" spans="1:3">
      <c r="A44" t="s">
        <v>5</v>
      </c>
      <c r="B44">
        <v>39</v>
      </c>
      <c r="C44">
        <v>36</v>
      </c>
    </row>
    <row r="45" spans="1:3">
      <c r="A45" t="s">
        <v>6</v>
      </c>
      <c r="B45">
        <v>39</v>
      </c>
      <c r="C45">
        <v>61</v>
      </c>
    </row>
    <row r="46" spans="1:3">
      <c r="A46" t="s">
        <v>6</v>
      </c>
      <c r="B46">
        <v>39</v>
      </c>
      <c r="C46">
        <v>28</v>
      </c>
    </row>
    <row r="47" spans="1:3">
      <c r="A47" t="s">
        <v>6</v>
      </c>
      <c r="B47">
        <v>39</v>
      </c>
      <c r="C47">
        <v>65</v>
      </c>
    </row>
    <row r="48" spans="1:3">
      <c r="A48" t="s">
        <v>6</v>
      </c>
      <c r="B48">
        <v>40</v>
      </c>
      <c r="C48">
        <v>55</v>
      </c>
    </row>
    <row r="49" spans="1:3">
      <c r="A49" t="s">
        <v>6</v>
      </c>
      <c r="B49">
        <v>40</v>
      </c>
      <c r="C49">
        <v>47</v>
      </c>
    </row>
    <row r="50" spans="1:3">
      <c r="A50" t="s">
        <v>6</v>
      </c>
      <c r="B50">
        <v>40</v>
      </c>
      <c r="C50">
        <v>42</v>
      </c>
    </row>
    <row r="51" spans="1:3">
      <c r="A51" t="s">
        <v>6</v>
      </c>
      <c r="B51">
        <v>40</v>
      </c>
      <c r="C51">
        <v>42</v>
      </c>
    </row>
    <row r="52" spans="1:3">
      <c r="A52" t="s">
        <v>6</v>
      </c>
      <c r="B52">
        <v>42</v>
      </c>
      <c r="C52">
        <v>52</v>
      </c>
    </row>
    <row r="53" spans="1:3">
      <c r="A53" t="s">
        <v>5</v>
      </c>
      <c r="B53">
        <v>42</v>
      </c>
      <c r="C53">
        <v>60</v>
      </c>
    </row>
    <row r="54" spans="1:3">
      <c r="A54" t="s">
        <v>6</v>
      </c>
      <c r="B54">
        <v>43</v>
      </c>
      <c r="C54">
        <v>54</v>
      </c>
    </row>
    <row r="55" spans="1:3">
      <c r="A55" t="s">
        <v>5</v>
      </c>
      <c r="B55">
        <v>43</v>
      </c>
      <c r="C55">
        <v>60</v>
      </c>
    </row>
    <row r="56" spans="1:3">
      <c r="A56" t="s">
        <v>6</v>
      </c>
      <c r="B56">
        <v>43</v>
      </c>
      <c r="C56">
        <v>45</v>
      </c>
    </row>
    <row r="57" spans="1:3">
      <c r="A57" t="s">
        <v>5</v>
      </c>
      <c r="B57">
        <v>43</v>
      </c>
      <c r="C57">
        <v>41</v>
      </c>
    </row>
    <row r="58" spans="1:3">
      <c r="A58" t="s">
        <v>6</v>
      </c>
      <c r="B58">
        <v>44</v>
      </c>
      <c r="C58">
        <v>50</v>
      </c>
    </row>
    <row r="59" spans="1:3">
      <c r="A59" t="s">
        <v>5</v>
      </c>
      <c r="B59">
        <v>44</v>
      </c>
      <c r="C59">
        <v>46</v>
      </c>
    </row>
    <row r="60" spans="1:3">
      <c r="A60" t="s">
        <v>6</v>
      </c>
      <c r="B60">
        <v>46</v>
      </c>
      <c r="C60">
        <v>51</v>
      </c>
    </row>
    <row r="61" spans="1:3">
      <c r="A61" t="s">
        <v>5</v>
      </c>
      <c r="B61">
        <v>46</v>
      </c>
      <c r="C61">
        <v>46</v>
      </c>
    </row>
    <row r="62" spans="1:3">
      <c r="A62" t="s">
        <v>5</v>
      </c>
      <c r="B62">
        <v>46</v>
      </c>
      <c r="C62">
        <v>56</v>
      </c>
    </row>
    <row r="63" spans="1:3">
      <c r="A63" t="s">
        <v>5</v>
      </c>
      <c r="B63">
        <v>46</v>
      </c>
      <c r="C63">
        <v>55</v>
      </c>
    </row>
    <row r="64" spans="1:3">
      <c r="A64" t="s">
        <v>6</v>
      </c>
      <c r="B64">
        <v>47</v>
      </c>
      <c r="C64">
        <v>52</v>
      </c>
    </row>
    <row r="65" spans="1:3">
      <c r="A65" t="s">
        <v>6</v>
      </c>
      <c r="B65">
        <v>47</v>
      </c>
      <c r="C65">
        <v>59</v>
      </c>
    </row>
    <row r="66" spans="1:3">
      <c r="A66" t="s">
        <v>5</v>
      </c>
      <c r="B66">
        <v>48</v>
      </c>
      <c r="C66">
        <v>51</v>
      </c>
    </row>
    <row r="67" spans="1:3">
      <c r="A67" t="s">
        <v>5</v>
      </c>
      <c r="B67">
        <v>48</v>
      </c>
      <c r="C67">
        <v>59</v>
      </c>
    </row>
    <row r="68" spans="1:3">
      <c r="A68" t="s">
        <v>6</v>
      </c>
      <c r="B68">
        <v>48</v>
      </c>
      <c r="C68">
        <v>50</v>
      </c>
    </row>
    <row r="69" spans="1:3">
      <c r="A69" t="s">
        <v>6</v>
      </c>
      <c r="B69">
        <v>48</v>
      </c>
      <c r="C69">
        <v>48</v>
      </c>
    </row>
    <row r="70" spans="1:3">
      <c r="A70" t="s">
        <v>5</v>
      </c>
      <c r="B70">
        <v>48</v>
      </c>
      <c r="C70">
        <v>59</v>
      </c>
    </row>
    <row r="71" spans="1:3">
      <c r="A71" t="s">
        <v>6</v>
      </c>
      <c r="B71">
        <v>48</v>
      </c>
      <c r="C71">
        <v>47</v>
      </c>
    </row>
    <row r="72" spans="1:3">
      <c r="A72" t="s">
        <v>5</v>
      </c>
      <c r="B72">
        <v>49</v>
      </c>
      <c r="C72">
        <v>55</v>
      </c>
    </row>
    <row r="73" spans="1:3">
      <c r="A73" t="s">
        <v>6</v>
      </c>
      <c r="B73">
        <v>49</v>
      </c>
      <c r="C73">
        <v>42</v>
      </c>
    </row>
    <row r="74" spans="1:3">
      <c r="A74" t="s">
        <v>6</v>
      </c>
      <c r="B74">
        <v>50</v>
      </c>
      <c r="C74">
        <v>49</v>
      </c>
    </row>
    <row r="75" spans="1:3">
      <c r="A75" t="s">
        <v>6</v>
      </c>
      <c r="B75">
        <v>50</v>
      </c>
      <c r="C75">
        <v>56</v>
      </c>
    </row>
    <row r="76" spans="1:3">
      <c r="A76" t="s">
        <v>5</v>
      </c>
      <c r="B76">
        <v>54</v>
      </c>
      <c r="C76">
        <v>47</v>
      </c>
    </row>
    <row r="77" spans="1:3">
      <c r="A77" t="s">
        <v>5</v>
      </c>
      <c r="B77">
        <v>54</v>
      </c>
      <c r="C77">
        <v>54</v>
      </c>
    </row>
    <row r="78" spans="1:3">
      <c r="A78" t="s">
        <v>6</v>
      </c>
      <c r="B78">
        <v>54</v>
      </c>
      <c r="C78">
        <v>53</v>
      </c>
    </row>
    <row r="79" spans="1:3">
      <c r="A79" t="s">
        <v>5</v>
      </c>
      <c r="B79">
        <v>54</v>
      </c>
      <c r="C79">
        <v>48</v>
      </c>
    </row>
    <row r="80" spans="1:3">
      <c r="A80" t="s">
        <v>6</v>
      </c>
      <c r="B80">
        <v>54</v>
      </c>
      <c r="C80">
        <v>52</v>
      </c>
    </row>
    <row r="81" spans="1:3">
      <c r="A81" t="s">
        <v>6</v>
      </c>
      <c r="B81">
        <v>54</v>
      </c>
      <c r="C81">
        <v>42</v>
      </c>
    </row>
    <row r="82" spans="1:3">
      <c r="A82" t="s">
        <v>5</v>
      </c>
      <c r="B82">
        <v>54</v>
      </c>
      <c r="C82">
        <v>51</v>
      </c>
    </row>
    <row r="83" spans="1:3">
      <c r="A83" t="s">
        <v>5</v>
      </c>
      <c r="B83">
        <v>54</v>
      </c>
      <c r="C83">
        <v>55</v>
      </c>
    </row>
    <row r="84" spans="1:3">
      <c r="A84" t="s">
        <v>5</v>
      </c>
      <c r="B84">
        <v>54</v>
      </c>
      <c r="C84">
        <v>41</v>
      </c>
    </row>
    <row r="85" spans="1:3">
      <c r="A85" t="s">
        <v>6</v>
      </c>
      <c r="B85">
        <v>54</v>
      </c>
      <c r="C85">
        <v>44</v>
      </c>
    </row>
    <row r="86" spans="1:3">
      <c r="A86" t="s">
        <v>6</v>
      </c>
      <c r="B86">
        <v>54</v>
      </c>
      <c r="C86">
        <v>57</v>
      </c>
    </row>
    <row r="87" spans="1:3">
      <c r="A87" t="s">
        <v>5</v>
      </c>
      <c r="B87">
        <v>54</v>
      </c>
      <c r="C87">
        <v>46</v>
      </c>
    </row>
    <row r="88" spans="1:3">
      <c r="A88" t="s">
        <v>6</v>
      </c>
      <c r="B88">
        <v>57</v>
      </c>
      <c r="C88">
        <v>58</v>
      </c>
    </row>
    <row r="89" spans="1:3">
      <c r="A89" t="s">
        <v>6</v>
      </c>
      <c r="B89">
        <v>57</v>
      </c>
      <c r="C89">
        <v>55</v>
      </c>
    </row>
    <row r="90" spans="1:3">
      <c r="A90" t="s">
        <v>6</v>
      </c>
      <c r="B90">
        <v>58</v>
      </c>
      <c r="C90">
        <v>60</v>
      </c>
    </row>
    <row r="91" spans="1:3">
      <c r="A91" t="s">
        <v>6</v>
      </c>
      <c r="B91">
        <v>58</v>
      </c>
      <c r="C91">
        <v>46</v>
      </c>
    </row>
    <row r="92" spans="1:3">
      <c r="A92" t="s">
        <v>6</v>
      </c>
      <c r="B92">
        <v>59</v>
      </c>
      <c r="C92">
        <v>55</v>
      </c>
    </row>
    <row r="93" spans="1:3">
      <c r="A93" t="s">
        <v>5</v>
      </c>
      <c r="B93">
        <v>59</v>
      </c>
      <c r="C93">
        <v>41</v>
      </c>
    </row>
    <row r="94" spans="1:3">
      <c r="A94" t="s">
        <v>5</v>
      </c>
      <c r="B94">
        <v>60</v>
      </c>
      <c r="C94">
        <v>49</v>
      </c>
    </row>
    <row r="95" spans="1:3">
      <c r="A95" t="s">
        <v>6</v>
      </c>
      <c r="B95">
        <v>60</v>
      </c>
      <c r="C95">
        <v>40</v>
      </c>
    </row>
    <row r="96" spans="1:3">
      <c r="A96" t="s">
        <v>6</v>
      </c>
      <c r="B96">
        <v>60</v>
      </c>
      <c r="C96">
        <v>42</v>
      </c>
    </row>
    <row r="97" spans="1:3">
      <c r="A97" t="s">
        <v>5</v>
      </c>
      <c r="B97">
        <v>60</v>
      </c>
      <c r="C97">
        <v>52</v>
      </c>
    </row>
    <row r="98" spans="1:3">
      <c r="A98" t="s">
        <v>6</v>
      </c>
      <c r="B98">
        <v>60</v>
      </c>
      <c r="C98">
        <v>47</v>
      </c>
    </row>
    <row r="99" spans="1:3">
      <c r="A99" t="s">
        <v>6</v>
      </c>
      <c r="B99">
        <v>60</v>
      </c>
      <c r="C99">
        <v>50</v>
      </c>
    </row>
    <row r="100" spans="1:3">
      <c r="A100" t="s">
        <v>5</v>
      </c>
      <c r="B100">
        <v>61</v>
      </c>
      <c r="C100">
        <v>42</v>
      </c>
    </row>
    <row r="101" spans="1:3">
      <c r="A101" t="s">
        <v>5</v>
      </c>
      <c r="B101">
        <v>61</v>
      </c>
      <c r="C101">
        <v>49</v>
      </c>
    </row>
    <row r="102" spans="1:3">
      <c r="A102" t="s">
        <v>6</v>
      </c>
      <c r="B102">
        <v>62</v>
      </c>
      <c r="C102">
        <v>41</v>
      </c>
    </row>
    <row r="103" spans="1:3">
      <c r="A103" t="s">
        <v>6</v>
      </c>
      <c r="B103">
        <v>62</v>
      </c>
      <c r="C103">
        <v>48</v>
      </c>
    </row>
    <row r="104" spans="1:3">
      <c r="A104" t="s">
        <v>5</v>
      </c>
      <c r="B104">
        <v>62</v>
      </c>
      <c r="C104">
        <v>59</v>
      </c>
    </row>
    <row r="105" spans="1:3">
      <c r="A105" t="s">
        <v>5</v>
      </c>
      <c r="B105">
        <v>62</v>
      </c>
      <c r="C105">
        <v>55</v>
      </c>
    </row>
    <row r="106" spans="1:3">
      <c r="A106" t="s">
        <v>5</v>
      </c>
      <c r="B106">
        <v>62</v>
      </c>
      <c r="C106">
        <v>56</v>
      </c>
    </row>
    <row r="107" spans="1:3">
      <c r="A107" t="s">
        <v>6</v>
      </c>
      <c r="B107">
        <v>62</v>
      </c>
      <c r="C107">
        <v>42</v>
      </c>
    </row>
    <row r="108" spans="1:3">
      <c r="A108" t="s">
        <v>6</v>
      </c>
      <c r="B108">
        <v>63</v>
      </c>
      <c r="C108">
        <v>50</v>
      </c>
    </row>
    <row r="109" spans="1:3">
      <c r="A109" t="s">
        <v>5</v>
      </c>
      <c r="B109">
        <v>63</v>
      </c>
      <c r="C109">
        <v>46</v>
      </c>
    </row>
    <row r="110" spans="1:3">
      <c r="A110" t="s">
        <v>5</v>
      </c>
      <c r="B110">
        <v>63</v>
      </c>
      <c r="C110">
        <v>43</v>
      </c>
    </row>
    <row r="111" spans="1:3">
      <c r="A111" t="s">
        <v>5</v>
      </c>
      <c r="B111">
        <v>63</v>
      </c>
      <c r="C111">
        <v>48</v>
      </c>
    </row>
    <row r="112" spans="1:3">
      <c r="A112" t="s">
        <v>5</v>
      </c>
      <c r="B112">
        <v>63</v>
      </c>
      <c r="C112">
        <v>52</v>
      </c>
    </row>
    <row r="113" spans="1:3">
      <c r="A113" t="s">
        <v>6</v>
      </c>
      <c r="B113">
        <v>63</v>
      </c>
      <c r="C113">
        <v>54</v>
      </c>
    </row>
    <row r="114" spans="1:3">
      <c r="A114" t="s">
        <v>6</v>
      </c>
      <c r="B114">
        <v>64</v>
      </c>
      <c r="C114">
        <v>42</v>
      </c>
    </row>
    <row r="115" spans="1:3">
      <c r="A115" t="s">
        <v>5</v>
      </c>
      <c r="B115">
        <v>64</v>
      </c>
      <c r="C115">
        <v>46</v>
      </c>
    </row>
    <row r="116" spans="1:3">
      <c r="A116" t="s">
        <v>6</v>
      </c>
      <c r="B116">
        <v>65</v>
      </c>
      <c r="C116">
        <v>48</v>
      </c>
    </row>
    <row r="117" spans="1:3">
      <c r="A117" t="s">
        <v>6</v>
      </c>
      <c r="B117">
        <v>65</v>
      </c>
      <c r="C117">
        <v>50</v>
      </c>
    </row>
    <row r="118" spans="1:3">
      <c r="A118" t="s">
        <v>6</v>
      </c>
      <c r="B118">
        <v>65</v>
      </c>
      <c r="C118">
        <v>43</v>
      </c>
    </row>
    <row r="119" spans="1:3">
      <c r="A119" t="s">
        <v>6</v>
      </c>
      <c r="B119">
        <v>65</v>
      </c>
      <c r="C119">
        <v>59</v>
      </c>
    </row>
    <row r="120" spans="1:3">
      <c r="A120" t="s">
        <v>6</v>
      </c>
      <c r="B120">
        <v>67</v>
      </c>
      <c r="C120">
        <v>43</v>
      </c>
    </row>
    <row r="121" spans="1:3">
      <c r="A121" t="s">
        <v>6</v>
      </c>
      <c r="B121">
        <v>67</v>
      </c>
      <c r="C121">
        <v>57</v>
      </c>
    </row>
    <row r="122" spans="1:3">
      <c r="A122" t="s">
        <v>5</v>
      </c>
      <c r="B122">
        <v>67</v>
      </c>
      <c r="C122">
        <v>56</v>
      </c>
    </row>
    <row r="123" spans="1:3">
      <c r="A123" t="s">
        <v>6</v>
      </c>
      <c r="B123">
        <v>67</v>
      </c>
      <c r="C123">
        <v>40</v>
      </c>
    </row>
    <row r="124" spans="1:3">
      <c r="A124" t="s">
        <v>6</v>
      </c>
      <c r="B124">
        <v>69</v>
      </c>
      <c r="C124">
        <v>58</v>
      </c>
    </row>
    <row r="125" spans="1:3">
      <c r="A125" t="s">
        <v>5</v>
      </c>
      <c r="B125">
        <v>69</v>
      </c>
      <c r="C125">
        <v>91</v>
      </c>
    </row>
    <row r="126" spans="1:3">
      <c r="A126" t="s">
        <v>6</v>
      </c>
      <c r="B126">
        <v>70</v>
      </c>
      <c r="C126">
        <v>29</v>
      </c>
    </row>
    <row r="127" spans="1:3">
      <c r="A127" t="s">
        <v>6</v>
      </c>
      <c r="B127">
        <v>70</v>
      </c>
      <c r="C127">
        <v>77</v>
      </c>
    </row>
    <row r="128" spans="1:3">
      <c r="A128" t="s">
        <v>5</v>
      </c>
      <c r="B128">
        <v>71</v>
      </c>
      <c r="C128">
        <v>35</v>
      </c>
    </row>
    <row r="129" spans="1:3">
      <c r="A129" t="s">
        <v>5</v>
      </c>
      <c r="B129">
        <v>71</v>
      </c>
      <c r="C129">
        <v>95</v>
      </c>
    </row>
    <row r="130" spans="1:3">
      <c r="A130" t="s">
        <v>5</v>
      </c>
      <c r="B130">
        <v>71</v>
      </c>
      <c r="C130">
        <v>11</v>
      </c>
    </row>
    <row r="131" spans="1:3">
      <c r="A131" t="s">
        <v>5</v>
      </c>
      <c r="B131">
        <v>71</v>
      </c>
      <c r="C131">
        <v>75</v>
      </c>
    </row>
    <row r="132" spans="1:3">
      <c r="A132" t="s">
        <v>5</v>
      </c>
      <c r="B132">
        <v>71</v>
      </c>
      <c r="C132">
        <v>9</v>
      </c>
    </row>
    <row r="133" spans="1:3">
      <c r="A133" t="s">
        <v>5</v>
      </c>
      <c r="B133">
        <v>71</v>
      </c>
      <c r="C133">
        <v>75</v>
      </c>
    </row>
    <row r="134" spans="1:3">
      <c r="A134" t="s">
        <v>6</v>
      </c>
      <c r="B134">
        <v>72</v>
      </c>
      <c r="C134">
        <v>34</v>
      </c>
    </row>
    <row r="135" spans="1:3">
      <c r="A135" t="s">
        <v>6</v>
      </c>
      <c r="B135">
        <v>72</v>
      </c>
      <c r="C135">
        <v>71</v>
      </c>
    </row>
    <row r="136" spans="1:3">
      <c r="A136" t="s">
        <v>5</v>
      </c>
      <c r="B136">
        <v>73</v>
      </c>
      <c r="C136">
        <v>5</v>
      </c>
    </row>
    <row r="137" spans="1:3">
      <c r="A137" t="s">
        <v>6</v>
      </c>
      <c r="B137">
        <v>73</v>
      </c>
      <c r="C137">
        <v>88</v>
      </c>
    </row>
    <row r="138" spans="1:3">
      <c r="A138" t="s">
        <v>6</v>
      </c>
      <c r="B138">
        <v>73</v>
      </c>
      <c r="C138">
        <v>7</v>
      </c>
    </row>
    <row r="139" spans="1:3">
      <c r="A139" t="s">
        <v>5</v>
      </c>
      <c r="B139">
        <v>73</v>
      </c>
      <c r="C139">
        <v>73</v>
      </c>
    </row>
    <row r="140" spans="1:3">
      <c r="A140" t="s">
        <v>5</v>
      </c>
      <c r="B140">
        <v>74</v>
      </c>
      <c r="C140">
        <v>10</v>
      </c>
    </row>
    <row r="141" spans="1:3">
      <c r="A141" t="s">
        <v>6</v>
      </c>
      <c r="B141">
        <v>74</v>
      </c>
      <c r="C141">
        <v>72</v>
      </c>
    </row>
    <row r="142" spans="1:3">
      <c r="A142" t="s">
        <v>6</v>
      </c>
      <c r="B142">
        <v>75</v>
      </c>
      <c r="C142">
        <v>5</v>
      </c>
    </row>
    <row r="143" spans="1:3">
      <c r="A143" t="s">
        <v>5</v>
      </c>
      <c r="B143">
        <v>75</v>
      </c>
      <c r="C143">
        <v>93</v>
      </c>
    </row>
    <row r="144" spans="1:3">
      <c r="A144" t="s">
        <v>6</v>
      </c>
      <c r="B144">
        <v>76</v>
      </c>
      <c r="C144">
        <v>40</v>
      </c>
    </row>
    <row r="145" spans="1:3">
      <c r="A145" t="s">
        <v>6</v>
      </c>
      <c r="B145">
        <v>76</v>
      </c>
      <c r="C145">
        <v>87</v>
      </c>
    </row>
    <row r="146" spans="1:3">
      <c r="A146" t="s">
        <v>5</v>
      </c>
      <c r="B146">
        <v>77</v>
      </c>
      <c r="C146">
        <v>12</v>
      </c>
    </row>
    <row r="147" spans="1:3">
      <c r="A147" t="s">
        <v>5</v>
      </c>
      <c r="B147">
        <v>77</v>
      </c>
      <c r="C147">
        <v>97</v>
      </c>
    </row>
    <row r="148" spans="1:3">
      <c r="A148" t="s">
        <v>5</v>
      </c>
      <c r="B148">
        <v>77</v>
      </c>
      <c r="C148">
        <v>36</v>
      </c>
    </row>
    <row r="149" spans="1:3">
      <c r="A149" t="s">
        <v>6</v>
      </c>
      <c r="B149">
        <v>77</v>
      </c>
      <c r="C149">
        <v>74</v>
      </c>
    </row>
    <row r="150" spans="1:3">
      <c r="A150" t="s">
        <v>6</v>
      </c>
      <c r="B150">
        <v>78</v>
      </c>
      <c r="C150">
        <v>22</v>
      </c>
    </row>
    <row r="151" spans="1:3">
      <c r="A151" t="s">
        <v>5</v>
      </c>
      <c r="B151">
        <v>78</v>
      </c>
      <c r="C151">
        <v>90</v>
      </c>
    </row>
    <row r="152" spans="1:3">
      <c r="A152" t="s">
        <v>5</v>
      </c>
      <c r="B152">
        <v>78</v>
      </c>
      <c r="C152">
        <v>17</v>
      </c>
    </row>
    <row r="153" spans="1:3">
      <c r="A153" t="s">
        <v>5</v>
      </c>
      <c r="B153">
        <v>78</v>
      </c>
      <c r="C153">
        <v>88</v>
      </c>
    </row>
    <row r="154" spans="1:3">
      <c r="A154" t="s">
        <v>6</v>
      </c>
      <c r="B154">
        <v>78</v>
      </c>
      <c r="C154">
        <v>20</v>
      </c>
    </row>
    <row r="155" spans="1:3">
      <c r="A155" t="s">
        <v>6</v>
      </c>
      <c r="B155">
        <v>78</v>
      </c>
      <c r="C155">
        <v>76</v>
      </c>
    </row>
    <row r="156" spans="1:3">
      <c r="A156" t="s">
        <v>6</v>
      </c>
      <c r="B156">
        <v>78</v>
      </c>
      <c r="C156">
        <v>16</v>
      </c>
    </row>
    <row r="157" spans="1:3">
      <c r="A157" t="s">
        <v>6</v>
      </c>
      <c r="B157">
        <v>78</v>
      </c>
      <c r="C157">
        <v>89</v>
      </c>
    </row>
    <row r="158" spans="1:3">
      <c r="A158" t="s">
        <v>5</v>
      </c>
      <c r="B158">
        <v>78</v>
      </c>
      <c r="C158">
        <v>1</v>
      </c>
    </row>
    <row r="159" spans="1:3">
      <c r="A159" t="s">
        <v>6</v>
      </c>
      <c r="B159">
        <v>78</v>
      </c>
      <c r="C159">
        <v>78</v>
      </c>
    </row>
    <row r="160" spans="1:3">
      <c r="A160" t="s">
        <v>5</v>
      </c>
      <c r="B160">
        <v>78</v>
      </c>
      <c r="C160">
        <v>1</v>
      </c>
    </row>
    <row r="161" spans="1:3">
      <c r="A161" t="s">
        <v>6</v>
      </c>
      <c r="B161">
        <v>78</v>
      </c>
      <c r="C161">
        <v>73</v>
      </c>
    </row>
    <row r="162" spans="1:3">
      <c r="A162" t="s">
        <v>6</v>
      </c>
      <c r="B162">
        <v>79</v>
      </c>
      <c r="C162">
        <v>35</v>
      </c>
    </row>
    <row r="163" spans="1:3">
      <c r="A163" t="s">
        <v>6</v>
      </c>
      <c r="B163">
        <v>79</v>
      </c>
      <c r="C163">
        <v>83</v>
      </c>
    </row>
    <row r="164" spans="1:3">
      <c r="A164" t="s">
        <v>5</v>
      </c>
      <c r="B164">
        <v>81</v>
      </c>
      <c r="C164">
        <v>5</v>
      </c>
    </row>
    <row r="165" spans="1:3">
      <c r="A165" t="s">
        <v>6</v>
      </c>
      <c r="B165">
        <v>81</v>
      </c>
      <c r="C165">
        <v>93</v>
      </c>
    </row>
    <row r="166" spans="1:3">
      <c r="A166" t="s">
        <v>5</v>
      </c>
      <c r="B166">
        <v>85</v>
      </c>
      <c r="C166">
        <v>26</v>
      </c>
    </row>
    <row r="167" spans="1:3">
      <c r="A167" t="s">
        <v>6</v>
      </c>
      <c r="B167">
        <v>85</v>
      </c>
      <c r="C167">
        <v>75</v>
      </c>
    </row>
    <row r="168" spans="1:3">
      <c r="A168" t="s">
        <v>5</v>
      </c>
      <c r="B168">
        <v>86</v>
      </c>
      <c r="C168">
        <v>20</v>
      </c>
    </row>
    <row r="169" spans="1:3">
      <c r="A169" t="s">
        <v>6</v>
      </c>
      <c r="B169">
        <v>86</v>
      </c>
      <c r="C169">
        <v>95</v>
      </c>
    </row>
    <row r="170" spans="1:3">
      <c r="A170" t="s">
        <v>6</v>
      </c>
      <c r="B170">
        <v>87</v>
      </c>
      <c r="C170">
        <v>27</v>
      </c>
    </row>
    <row r="171" spans="1:3">
      <c r="A171" t="s">
        <v>5</v>
      </c>
      <c r="B171">
        <v>87</v>
      </c>
      <c r="C171">
        <v>63</v>
      </c>
    </row>
    <row r="172" spans="1:3">
      <c r="A172" t="s">
        <v>5</v>
      </c>
      <c r="B172">
        <v>87</v>
      </c>
      <c r="C172">
        <v>13</v>
      </c>
    </row>
    <row r="173" spans="1:3">
      <c r="A173" t="s">
        <v>5</v>
      </c>
      <c r="B173">
        <v>87</v>
      </c>
      <c r="C173">
        <v>75</v>
      </c>
    </row>
    <row r="174" spans="1:3">
      <c r="A174" t="s">
        <v>5</v>
      </c>
      <c r="B174">
        <v>87</v>
      </c>
      <c r="C174">
        <v>10</v>
      </c>
    </row>
    <row r="175" spans="1:3">
      <c r="A175" t="s">
        <v>5</v>
      </c>
      <c r="B175">
        <v>87</v>
      </c>
      <c r="C175">
        <v>92</v>
      </c>
    </row>
    <row r="176" spans="1:3">
      <c r="A176" t="s">
        <v>6</v>
      </c>
      <c r="B176">
        <v>88</v>
      </c>
      <c r="C176">
        <v>13</v>
      </c>
    </row>
    <row r="177" spans="1:3">
      <c r="A177" t="s">
        <v>6</v>
      </c>
      <c r="B177">
        <v>88</v>
      </c>
      <c r="C177">
        <v>86</v>
      </c>
    </row>
    <row r="178" spans="1:3">
      <c r="A178" t="s">
        <v>5</v>
      </c>
      <c r="B178">
        <v>88</v>
      </c>
      <c r="C178">
        <v>15</v>
      </c>
    </row>
    <row r="179" spans="1:3">
      <c r="A179" t="s">
        <v>5</v>
      </c>
      <c r="B179">
        <v>88</v>
      </c>
      <c r="C179">
        <v>69</v>
      </c>
    </row>
    <row r="180" spans="1:3">
      <c r="A180" t="s">
        <v>5</v>
      </c>
      <c r="B180">
        <v>93</v>
      </c>
      <c r="C180">
        <v>14</v>
      </c>
    </row>
    <row r="181" spans="1:3">
      <c r="A181" t="s">
        <v>5</v>
      </c>
      <c r="B181">
        <v>93</v>
      </c>
      <c r="C181">
        <v>90</v>
      </c>
    </row>
    <row r="182" spans="1:3">
      <c r="A182" t="s">
        <v>6</v>
      </c>
      <c r="B182">
        <v>97</v>
      </c>
      <c r="C182">
        <v>32</v>
      </c>
    </row>
    <row r="183" spans="1:3">
      <c r="A183" t="s">
        <v>6</v>
      </c>
      <c r="B183">
        <v>97</v>
      </c>
      <c r="C183">
        <v>86</v>
      </c>
    </row>
    <row r="184" spans="1:3">
      <c r="A184" t="s">
        <v>5</v>
      </c>
      <c r="B184">
        <v>98</v>
      </c>
      <c r="C184">
        <v>15</v>
      </c>
    </row>
    <row r="185" spans="1:3">
      <c r="A185" t="s">
        <v>6</v>
      </c>
      <c r="B185">
        <v>98</v>
      </c>
      <c r="C185">
        <v>88</v>
      </c>
    </row>
    <row r="186" spans="1:3">
      <c r="A186" t="s">
        <v>6</v>
      </c>
      <c r="B186">
        <v>99</v>
      </c>
      <c r="C186">
        <v>39</v>
      </c>
    </row>
    <row r="187" spans="1:3">
      <c r="A187" t="s">
        <v>5</v>
      </c>
      <c r="B187">
        <v>99</v>
      </c>
      <c r="C187">
        <v>97</v>
      </c>
    </row>
    <row r="188" spans="1:3">
      <c r="A188" t="s">
        <v>6</v>
      </c>
      <c r="B188">
        <v>101</v>
      </c>
      <c r="C188">
        <v>24</v>
      </c>
    </row>
    <row r="189" spans="1:3">
      <c r="A189" t="s">
        <v>5</v>
      </c>
      <c r="B189">
        <v>101</v>
      </c>
      <c r="C189">
        <v>68</v>
      </c>
    </row>
    <row r="190" spans="1:3">
      <c r="A190" t="s">
        <v>6</v>
      </c>
      <c r="B190">
        <v>103</v>
      </c>
      <c r="C190">
        <v>17</v>
      </c>
    </row>
    <row r="191" spans="1:3">
      <c r="A191" t="s">
        <v>6</v>
      </c>
      <c r="B191">
        <v>103</v>
      </c>
      <c r="C191">
        <v>85</v>
      </c>
    </row>
    <row r="192" spans="1:3">
      <c r="A192" t="s">
        <v>6</v>
      </c>
      <c r="B192">
        <v>103</v>
      </c>
      <c r="C192">
        <v>23</v>
      </c>
    </row>
    <row r="193" spans="1:3">
      <c r="A193" t="s">
        <v>6</v>
      </c>
      <c r="B193">
        <v>103</v>
      </c>
      <c r="C193">
        <v>69</v>
      </c>
    </row>
    <row r="194" spans="1:3">
      <c r="A194" t="s">
        <v>5</v>
      </c>
      <c r="B194">
        <v>113</v>
      </c>
      <c r="C194">
        <v>8</v>
      </c>
    </row>
    <row r="195" spans="1:3">
      <c r="A195" t="s">
        <v>6</v>
      </c>
      <c r="B195">
        <v>113</v>
      </c>
      <c r="C195">
        <v>91</v>
      </c>
    </row>
    <row r="196" spans="1:3">
      <c r="A196" t="s">
        <v>6</v>
      </c>
      <c r="B196">
        <v>120</v>
      </c>
      <c r="C196">
        <v>16</v>
      </c>
    </row>
    <row r="197" spans="1:3">
      <c r="A197" t="s">
        <v>6</v>
      </c>
      <c r="B197">
        <v>120</v>
      </c>
      <c r="C197">
        <v>79</v>
      </c>
    </row>
    <row r="198" spans="1:3">
      <c r="A198" t="s">
        <v>6</v>
      </c>
      <c r="B198">
        <v>126</v>
      </c>
      <c r="C198">
        <v>28</v>
      </c>
    </row>
    <row r="199" spans="1:3">
      <c r="A199" t="s">
        <v>5</v>
      </c>
      <c r="B199">
        <v>126</v>
      </c>
      <c r="C199">
        <v>74</v>
      </c>
    </row>
    <row r="200" spans="1:3">
      <c r="A200" t="s">
        <v>5</v>
      </c>
      <c r="B200">
        <v>137</v>
      </c>
      <c r="C200">
        <v>18</v>
      </c>
    </row>
    <row r="201" spans="1:3">
      <c r="A201" t="s">
        <v>5</v>
      </c>
      <c r="B201">
        <v>137</v>
      </c>
      <c r="C201">
        <v>83</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CL201"/>
  <sheetViews>
    <sheetView workbookViewId="0">
      <selection activeCell="I39" sqref="I39"/>
    </sheetView>
  </sheetViews>
  <sheetFormatPr baseColWidth="10" defaultRowHeight="16"/>
  <cols>
    <col min="1" max="1" width="16.5" customWidth="1"/>
    <col min="3" max="3" width="25.5" style="5" customWidth="1"/>
    <col min="4" max="4" width="26.83203125" customWidth="1"/>
    <col min="5" max="5" width="23.83203125" bestFit="1" customWidth="1"/>
    <col min="6" max="6" width="15.5" bestFit="1" customWidth="1"/>
    <col min="7" max="7" width="6.6640625" bestFit="1" customWidth="1"/>
    <col min="8" max="8" width="10.83203125" bestFit="1" customWidth="1"/>
    <col min="9" max="9" width="23.83203125" bestFit="1" customWidth="1"/>
    <col min="10" max="10" width="28.83203125" bestFit="1" customWidth="1"/>
    <col min="11" max="11" width="28.6640625" bestFit="1" customWidth="1"/>
    <col min="12" max="16" width="30.1640625" bestFit="1" customWidth="1"/>
    <col min="17" max="17" width="37.1640625" bestFit="1" customWidth="1"/>
    <col min="18" max="18" width="18.5" bestFit="1" customWidth="1"/>
    <col min="19" max="30" width="30.1640625" bestFit="1" customWidth="1"/>
    <col min="31" max="31" width="35" bestFit="1" customWidth="1"/>
    <col min="32" max="32" width="16.5" bestFit="1" customWidth="1"/>
    <col min="33" max="33" width="35" bestFit="1" customWidth="1"/>
    <col min="34" max="34" width="16.5" bestFit="1" customWidth="1"/>
    <col min="35" max="89" width="4.6640625" bestFit="1" customWidth="1"/>
  </cols>
  <sheetData>
    <row r="1" spans="1:90">
      <c r="A1" t="s">
        <v>1</v>
      </c>
      <c r="B1" t="s">
        <v>2</v>
      </c>
      <c r="C1" s="12" t="s">
        <v>3</v>
      </c>
      <c r="D1" t="s">
        <v>4</v>
      </c>
      <c r="E1" s="9" t="s">
        <v>17</v>
      </c>
      <c r="F1" s="9" t="s">
        <v>16</v>
      </c>
    </row>
    <row r="2" spans="1:90">
      <c r="A2" t="s">
        <v>5</v>
      </c>
      <c r="B2">
        <v>19</v>
      </c>
      <c r="C2" s="12">
        <v>15000</v>
      </c>
      <c r="D2">
        <v>39</v>
      </c>
      <c r="E2" s="9" t="s">
        <v>14</v>
      </c>
      <c r="F2" t="s">
        <v>6</v>
      </c>
      <c r="G2" t="s">
        <v>5</v>
      </c>
      <c r="H2" t="s">
        <v>15</v>
      </c>
      <c r="I2" s="9"/>
      <c r="J2" s="9"/>
      <c r="K2" s="9"/>
      <c r="L2" s="9"/>
      <c r="M2" s="9"/>
      <c r="N2" s="9"/>
      <c r="O2" s="9"/>
      <c r="P2" s="9"/>
      <c r="Q2" s="9"/>
      <c r="R2" s="9"/>
      <c r="S2" s="9"/>
      <c r="T2" s="9"/>
      <c r="U2" s="9"/>
      <c r="V2" s="9"/>
      <c r="W2" s="9"/>
      <c r="X2" s="9"/>
      <c r="Y2" s="9"/>
      <c r="Z2" s="9"/>
      <c r="AA2" s="9"/>
      <c r="AB2" s="9"/>
      <c r="AC2" s="9"/>
      <c r="AD2" s="9"/>
      <c r="AE2" s="9"/>
      <c r="AF2" s="9"/>
      <c r="AG2" s="9"/>
      <c r="AH2" s="9"/>
      <c r="AI2" s="9"/>
      <c r="AJ2" s="9"/>
      <c r="AK2" s="9"/>
      <c r="AL2" s="9"/>
      <c r="AM2" s="9"/>
      <c r="AN2" s="9"/>
      <c r="AO2" s="9"/>
      <c r="AP2" s="9"/>
      <c r="AQ2" s="9"/>
      <c r="AR2" s="9"/>
      <c r="AS2" s="9"/>
      <c r="AT2" s="9"/>
      <c r="AU2" s="9"/>
      <c r="AV2" s="9"/>
      <c r="AW2" s="9"/>
      <c r="AX2" s="9"/>
      <c r="AY2" s="9"/>
      <c r="AZ2" s="9"/>
      <c r="BA2" s="9"/>
      <c r="BB2" s="9"/>
      <c r="BC2" s="9"/>
      <c r="BD2" s="9"/>
      <c r="BE2" s="9"/>
      <c r="BF2" s="9"/>
      <c r="BG2" s="9"/>
      <c r="BH2" s="9"/>
      <c r="BI2" s="9"/>
      <c r="BJ2" s="9"/>
      <c r="BK2" s="9"/>
      <c r="BL2" s="9"/>
      <c r="BM2" s="9"/>
      <c r="BN2" s="9"/>
      <c r="BO2" s="9"/>
      <c r="BP2" s="9"/>
      <c r="BQ2" s="9"/>
      <c r="BR2" s="9"/>
      <c r="BS2" s="9"/>
      <c r="BT2" s="9"/>
      <c r="BU2" s="9"/>
      <c r="BV2" s="9"/>
      <c r="BW2" s="9"/>
      <c r="BX2" s="9"/>
      <c r="BY2" s="9"/>
      <c r="BZ2" s="9"/>
      <c r="CA2" s="9"/>
      <c r="CB2" s="9"/>
      <c r="CC2" s="9"/>
      <c r="CD2" s="9"/>
      <c r="CE2" s="9"/>
      <c r="CF2" s="9"/>
      <c r="CG2" s="9"/>
      <c r="CH2" s="9"/>
      <c r="CI2" s="9"/>
      <c r="CJ2" s="9"/>
      <c r="CK2" s="9"/>
      <c r="CL2" s="9"/>
    </row>
    <row r="3" spans="1:90">
      <c r="A3" t="s">
        <v>5</v>
      </c>
      <c r="B3">
        <v>21</v>
      </c>
      <c r="C3" s="12">
        <v>15000</v>
      </c>
      <c r="D3">
        <v>81</v>
      </c>
      <c r="E3" s="10" t="s">
        <v>18</v>
      </c>
      <c r="F3" s="11">
        <v>0.21428571428571427</v>
      </c>
      <c r="G3" s="11">
        <v>0.25</v>
      </c>
      <c r="H3" s="11">
        <v>0.23</v>
      </c>
    </row>
    <row r="4" spans="1:90">
      <c r="A4" t="s">
        <v>6</v>
      </c>
      <c r="B4">
        <v>20</v>
      </c>
      <c r="C4" s="12">
        <v>16000</v>
      </c>
      <c r="D4">
        <v>6</v>
      </c>
      <c r="E4" s="10" t="s">
        <v>19</v>
      </c>
      <c r="F4" s="11">
        <v>0.3392857142857143</v>
      </c>
      <c r="G4" s="11">
        <v>0.26136363636363635</v>
      </c>
      <c r="H4" s="11">
        <v>0.30499999999999999</v>
      </c>
    </row>
    <row r="5" spans="1:90">
      <c r="A5" t="s">
        <v>6</v>
      </c>
      <c r="B5">
        <v>23</v>
      </c>
      <c r="C5" s="12">
        <v>16000</v>
      </c>
      <c r="D5">
        <v>77</v>
      </c>
      <c r="E5" s="10" t="s">
        <v>20</v>
      </c>
      <c r="F5" s="11">
        <v>0.19642857142857142</v>
      </c>
      <c r="G5" s="11">
        <v>0.15909090909090909</v>
      </c>
      <c r="H5" s="11">
        <v>0.18</v>
      </c>
    </row>
    <row r="6" spans="1:90">
      <c r="A6" t="s">
        <v>6</v>
      </c>
      <c r="B6">
        <v>31</v>
      </c>
      <c r="C6" s="12">
        <v>17000</v>
      </c>
      <c r="D6">
        <v>40</v>
      </c>
      <c r="E6" s="10" t="s">
        <v>21</v>
      </c>
      <c r="F6" s="11">
        <v>0.16964285714285715</v>
      </c>
      <c r="G6" s="11">
        <v>0.13636363636363635</v>
      </c>
      <c r="H6" s="11">
        <v>0.155</v>
      </c>
    </row>
    <row r="7" spans="1:90">
      <c r="A7" t="s">
        <v>6</v>
      </c>
      <c r="B7">
        <v>22</v>
      </c>
      <c r="C7" s="12">
        <v>17000</v>
      </c>
      <c r="D7">
        <v>76</v>
      </c>
      <c r="E7" s="10" t="s">
        <v>22</v>
      </c>
      <c r="F7" s="11">
        <v>6.25E-2</v>
      </c>
      <c r="G7" s="11">
        <v>0.14772727272727273</v>
      </c>
      <c r="H7" s="11">
        <v>0.1</v>
      </c>
    </row>
    <row r="8" spans="1:90">
      <c r="A8" t="s">
        <v>6</v>
      </c>
      <c r="B8">
        <v>35</v>
      </c>
      <c r="C8" s="12">
        <v>18000</v>
      </c>
      <c r="D8">
        <v>6</v>
      </c>
      <c r="E8" s="10" t="s">
        <v>23</v>
      </c>
      <c r="F8" s="11">
        <v>1.7857142857142856E-2</v>
      </c>
      <c r="G8" s="11">
        <v>4.5454545454545456E-2</v>
      </c>
      <c r="H8" s="11">
        <v>0.03</v>
      </c>
    </row>
    <row r="9" spans="1:90">
      <c r="A9" t="s">
        <v>6</v>
      </c>
      <c r="B9">
        <v>23</v>
      </c>
      <c r="C9" s="12">
        <v>18000</v>
      </c>
      <c r="D9">
        <v>94</v>
      </c>
      <c r="E9" s="10" t="s">
        <v>15</v>
      </c>
      <c r="F9" s="11">
        <v>1</v>
      </c>
      <c r="G9" s="11">
        <v>1</v>
      </c>
      <c r="H9" s="11">
        <v>1</v>
      </c>
    </row>
    <row r="10" spans="1:90">
      <c r="A10" t="s">
        <v>5</v>
      </c>
      <c r="B10">
        <v>64</v>
      </c>
      <c r="C10" s="12">
        <v>19000</v>
      </c>
      <c r="D10">
        <v>3</v>
      </c>
    </row>
    <row r="11" spans="1:90">
      <c r="A11" t="s">
        <v>6</v>
      </c>
      <c r="B11">
        <v>30</v>
      </c>
      <c r="C11" s="12">
        <v>19000</v>
      </c>
      <c r="D11">
        <v>72</v>
      </c>
    </row>
    <row r="12" spans="1:90">
      <c r="A12" t="s">
        <v>5</v>
      </c>
      <c r="B12">
        <v>67</v>
      </c>
      <c r="C12" s="12">
        <v>19000</v>
      </c>
      <c r="D12">
        <v>14</v>
      </c>
    </row>
    <row r="13" spans="1:90">
      <c r="A13" t="s">
        <v>6</v>
      </c>
      <c r="B13">
        <v>35</v>
      </c>
      <c r="C13" s="12">
        <v>19000</v>
      </c>
      <c r="D13">
        <v>99</v>
      </c>
    </row>
    <row r="14" spans="1:90">
      <c r="A14" t="s">
        <v>6</v>
      </c>
      <c r="B14">
        <v>58</v>
      </c>
      <c r="C14" s="12">
        <v>20000</v>
      </c>
      <c r="D14">
        <v>15</v>
      </c>
    </row>
    <row r="15" spans="1:90">
      <c r="A15" t="s">
        <v>6</v>
      </c>
      <c r="B15">
        <v>24</v>
      </c>
      <c r="C15" s="12">
        <v>20000</v>
      </c>
      <c r="D15">
        <v>77</v>
      </c>
    </row>
    <row r="16" spans="1:90">
      <c r="A16" t="s">
        <v>5</v>
      </c>
      <c r="B16">
        <v>37</v>
      </c>
      <c r="C16" s="12">
        <v>20000</v>
      </c>
      <c r="D16">
        <v>13</v>
      </c>
    </row>
    <row r="17" spans="1:6">
      <c r="A17" t="s">
        <v>5</v>
      </c>
      <c r="B17">
        <v>22</v>
      </c>
      <c r="C17" s="12">
        <v>20000</v>
      </c>
      <c r="D17">
        <v>79</v>
      </c>
      <c r="E17" s="9" t="s">
        <v>14</v>
      </c>
      <c r="F17" t="s">
        <v>24</v>
      </c>
    </row>
    <row r="18" spans="1:6">
      <c r="A18" t="s">
        <v>6</v>
      </c>
      <c r="B18">
        <v>35</v>
      </c>
      <c r="C18" s="12">
        <v>21000</v>
      </c>
      <c r="D18">
        <v>35</v>
      </c>
      <c r="E18" s="10" t="s">
        <v>18</v>
      </c>
      <c r="F18" s="3">
        <v>55.630434782608695</v>
      </c>
    </row>
    <row r="19" spans="1:6">
      <c r="A19" t="s">
        <v>5</v>
      </c>
      <c r="B19">
        <v>20</v>
      </c>
      <c r="C19" s="12">
        <v>21000</v>
      </c>
      <c r="D19">
        <v>66</v>
      </c>
      <c r="E19" s="10" t="s">
        <v>19</v>
      </c>
      <c r="F19" s="3">
        <v>61.590163934426229</v>
      </c>
    </row>
    <row r="20" spans="1:6">
      <c r="A20" t="s">
        <v>5</v>
      </c>
      <c r="B20">
        <v>52</v>
      </c>
      <c r="C20" s="12">
        <v>23000</v>
      </c>
      <c r="D20">
        <v>29</v>
      </c>
      <c r="E20" s="10" t="s">
        <v>20</v>
      </c>
      <c r="F20" s="3">
        <v>41.333333333333336</v>
      </c>
    </row>
    <row r="21" spans="1:6">
      <c r="A21" t="s">
        <v>6</v>
      </c>
      <c r="B21">
        <v>35</v>
      </c>
      <c r="C21" s="12">
        <v>23000</v>
      </c>
      <c r="D21">
        <v>98</v>
      </c>
      <c r="E21" s="10" t="s">
        <v>21</v>
      </c>
      <c r="F21" s="3">
        <v>39.161290322580648</v>
      </c>
    </row>
    <row r="22" spans="1:6">
      <c r="A22" t="s">
        <v>5</v>
      </c>
      <c r="B22">
        <v>35</v>
      </c>
      <c r="C22" s="12">
        <v>24000</v>
      </c>
      <c r="D22">
        <v>35</v>
      </c>
      <c r="E22" s="10" t="s">
        <v>22</v>
      </c>
      <c r="F22" s="3">
        <v>35.950000000000003</v>
      </c>
    </row>
    <row r="23" spans="1:6">
      <c r="A23" t="s">
        <v>5</v>
      </c>
      <c r="B23">
        <v>25</v>
      </c>
      <c r="C23" s="12">
        <v>24000</v>
      </c>
      <c r="D23">
        <v>73</v>
      </c>
      <c r="E23" s="10" t="s">
        <v>23</v>
      </c>
      <c r="F23" s="3">
        <v>50.5</v>
      </c>
    </row>
    <row r="24" spans="1:6">
      <c r="A24" t="s">
        <v>6</v>
      </c>
      <c r="B24">
        <v>46</v>
      </c>
      <c r="C24" s="12">
        <v>25000</v>
      </c>
      <c r="D24">
        <v>5</v>
      </c>
      <c r="E24" s="10" t="s">
        <v>15</v>
      </c>
      <c r="F24" s="8">
        <v>50.2</v>
      </c>
    </row>
    <row r="25" spans="1:6">
      <c r="A25" t="s">
        <v>5</v>
      </c>
      <c r="B25">
        <v>31</v>
      </c>
      <c r="C25" s="12">
        <v>25000</v>
      </c>
      <c r="D25">
        <v>73</v>
      </c>
    </row>
    <row r="26" spans="1:6">
      <c r="A26" t="s">
        <v>6</v>
      </c>
      <c r="B26">
        <v>54</v>
      </c>
      <c r="C26" s="12">
        <v>28000</v>
      </c>
      <c r="D26">
        <v>14</v>
      </c>
    </row>
    <row r="27" spans="1:6">
      <c r="A27" t="s">
        <v>5</v>
      </c>
      <c r="B27">
        <v>29</v>
      </c>
      <c r="C27" s="12">
        <v>28000</v>
      </c>
      <c r="D27">
        <v>82</v>
      </c>
    </row>
    <row r="28" spans="1:6">
      <c r="A28" t="s">
        <v>6</v>
      </c>
      <c r="B28">
        <v>45</v>
      </c>
      <c r="C28" s="12">
        <v>28000</v>
      </c>
      <c r="D28">
        <v>32</v>
      </c>
    </row>
    <row r="29" spans="1:6">
      <c r="A29" t="s">
        <v>5</v>
      </c>
      <c r="B29">
        <v>35</v>
      </c>
      <c r="C29" s="12">
        <v>28000</v>
      </c>
      <c r="D29">
        <v>61</v>
      </c>
    </row>
    <row r="30" spans="1:6">
      <c r="A30" t="s">
        <v>6</v>
      </c>
      <c r="B30">
        <v>40</v>
      </c>
      <c r="C30" s="12">
        <v>29000</v>
      </c>
      <c r="D30">
        <v>31</v>
      </c>
    </row>
    <row r="31" spans="1:6">
      <c r="A31" t="s">
        <v>6</v>
      </c>
      <c r="B31">
        <v>23</v>
      </c>
      <c r="C31" s="12">
        <v>29000</v>
      </c>
      <c r="D31">
        <v>87</v>
      </c>
    </row>
    <row r="32" spans="1:6">
      <c r="A32" t="s">
        <v>5</v>
      </c>
      <c r="B32">
        <v>60</v>
      </c>
      <c r="C32" s="12">
        <v>30000</v>
      </c>
      <c r="D32">
        <v>4</v>
      </c>
    </row>
    <row r="33" spans="1:90">
      <c r="A33" t="s">
        <v>6</v>
      </c>
      <c r="B33">
        <v>21</v>
      </c>
      <c r="C33" s="12">
        <v>30000</v>
      </c>
      <c r="D33">
        <v>73</v>
      </c>
    </row>
    <row r="34" spans="1:90">
      <c r="A34" t="s">
        <v>5</v>
      </c>
      <c r="B34">
        <v>53</v>
      </c>
      <c r="C34" s="12">
        <v>33000</v>
      </c>
      <c r="D34">
        <v>4</v>
      </c>
      <c r="E34" s="9" t="s">
        <v>25</v>
      </c>
      <c r="F34" s="9" t="s">
        <v>16</v>
      </c>
    </row>
    <row r="35" spans="1:90">
      <c r="A35" t="s">
        <v>5</v>
      </c>
      <c r="B35">
        <v>18</v>
      </c>
      <c r="C35" s="12">
        <v>33000</v>
      </c>
      <c r="D35">
        <v>92</v>
      </c>
      <c r="E35" s="9" t="s">
        <v>14</v>
      </c>
      <c r="F35" t="s">
        <v>6</v>
      </c>
      <c r="G35" t="s">
        <v>5</v>
      </c>
      <c r="H35" t="s">
        <v>15</v>
      </c>
      <c r="L35" s="9"/>
      <c r="M35" s="9"/>
      <c r="N35" s="9"/>
      <c r="O35" s="9"/>
      <c r="P35" s="9"/>
      <c r="Q35" s="9"/>
      <c r="R35" s="9"/>
      <c r="S35" s="9"/>
      <c r="T35" s="9"/>
      <c r="U35" s="9"/>
      <c r="V35" s="9"/>
      <c r="W35" s="9"/>
      <c r="X35" s="9"/>
      <c r="Y35" s="9"/>
      <c r="Z35" s="9"/>
      <c r="AA35" s="9"/>
      <c r="AB35" s="9"/>
      <c r="AC35" s="9"/>
      <c r="AD35" s="9"/>
      <c r="AE35" s="9"/>
      <c r="AF35" s="9"/>
      <c r="AG35" s="9"/>
      <c r="AH35" s="9"/>
      <c r="AI35" s="9"/>
      <c r="AJ35" s="9"/>
      <c r="AK35" s="9"/>
      <c r="AL35" s="9"/>
      <c r="AM35" s="9"/>
      <c r="AN35" s="9"/>
      <c r="AO35" s="9"/>
      <c r="AP35" s="9"/>
      <c r="AQ35" s="9"/>
      <c r="AR35" s="9"/>
      <c r="AS35" s="9"/>
      <c r="AT35" s="9"/>
      <c r="AU35" s="9"/>
      <c r="AV35" s="9"/>
      <c r="AW35" s="9"/>
      <c r="AX35" s="9"/>
      <c r="AY35" s="9"/>
      <c r="AZ35" s="9"/>
      <c r="BA35" s="9"/>
      <c r="BB35" s="9"/>
      <c r="BC35" s="9"/>
      <c r="BD35" s="9"/>
      <c r="BE35" s="9"/>
      <c r="BF35" s="9"/>
      <c r="BG35" s="9"/>
      <c r="BH35" s="9"/>
      <c r="BI35" s="9"/>
      <c r="BJ35" s="9"/>
      <c r="BK35" s="9"/>
      <c r="BL35" s="9"/>
      <c r="BM35" s="9"/>
      <c r="BN35" s="9"/>
      <c r="BO35" s="9"/>
      <c r="BP35" s="9"/>
      <c r="BQ35" s="9"/>
      <c r="BR35" s="9"/>
      <c r="BS35" s="9"/>
      <c r="BT35" s="9"/>
      <c r="BU35" s="9"/>
      <c r="BV35" s="9"/>
      <c r="BW35" s="9"/>
      <c r="BX35" s="9"/>
      <c r="BY35" s="9"/>
      <c r="BZ35" s="9"/>
      <c r="CA35" s="9"/>
      <c r="CB35" s="9"/>
      <c r="CC35" s="9"/>
      <c r="CD35" s="9"/>
      <c r="CE35" s="9"/>
      <c r="CF35" s="9"/>
      <c r="CG35" s="9"/>
      <c r="CH35" s="9"/>
      <c r="CI35" s="9"/>
      <c r="CJ35" s="9"/>
      <c r="CK35" s="9"/>
      <c r="CL35" s="9"/>
    </row>
    <row r="36" spans="1:90">
      <c r="A36" t="s">
        <v>6</v>
      </c>
      <c r="B36">
        <v>49</v>
      </c>
      <c r="C36" s="12">
        <v>33000</v>
      </c>
      <c r="D36">
        <v>14</v>
      </c>
      <c r="E36" s="10" t="s">
        <v>18</v>
      </c>
      <c r="F36" s="5">
        <v>1103</v>
      </c>
      <c r="G36" s="5">
        <v>1128</v>
      </c>
      <c r="H36" s="5">
        <v>2231</v>
      </c>
    </row>
    <row r="37" spans="1:90">
      <c r="A37" t="s">
        <v>6</v>
      </c>
      <c r="B37">
        <v>21</v>
      </c>
      <c r="C37" s="12">
        <v>33000</v>
      </c>
      <c r="D37">
        <v>81</v>
      </c>
      <c r="E37" s="10" t="s">
        <v>19</v>
      </c>
      <c r="F37" s="5">
        <v>2495</v>
      </c>
      <c r="G37" s="5">
        <v>1780</v>
      </c>
      <c r="H37" s="5">
        <v>4275</v>
      </c>
    </row>
    <row r="38" spans="1:90">
      <c r="A38" t="s">
        <v>6</v>
      </c>
      <c r="B38">
        <v>42</v>
      </c>
      <c r="C38" s="12">
        <v>34000</v>
      </c>
      <c r="D38">
        <v>17</v>
      </c>
      <c r="E38" s="10" t="s">
        <v>20</v>
      </c>
      <c r="F38" s="5">
        <v>1509</v>
      </c>
      <c r="G38" s="5">
        <v>1002</v>
      </c>
      <c r="H38" s="5">
        <v>2511</v>
      </c>
    </row>
    <row r="39" spans="1:90">
      <c r="A39" t="s">
        <v>6</v>
      </c>
      <c r="B39">
        <v>30</v>
      </c>
      <c r="C39" s="12">
        <v>34000</v>
      </c>
      <c r="D39">
        <v>73</v>
      </c>
      <c r="E39" s="10" t="s">
        <v>21</v>
      </c>
      <c r="F39" s="5">
        <v>1089</v>
      </c>
      <c r="G39" s="5">
        <v>657</v>
      </c>
      <c r="H39" s="5">
        <v>1746</v>
      </c>
    </row>
    <row r="40" spans="1:90">
      <c r="A40" t="s">
        <v>6</v>
      </c>
      <c r="B40">
        <v>36</v>
      </c>
      <c r="C40" s="12">
        <v>37000</v>
      </c>
      <c r="D40">
        <v>26</v>
      </c>
      <c r="E40" s="10" t="s">
        <v>22</v>
      </c>
      <c r="F40" s="5">
        <v>333</v>
      </c>
      <c r="G40" s="5">
        <v>707</v>
      </c>
      <c r="H40" s="5">
        <v>1040</v>
      </c>
    </row>
    <row r="41" spans="1:90">
      <c r="A41" t="s">
        <v>6</v>
      </c>
      <c r="B41">
        <v>20</v>
      </c>
      <c r="C41" s="12">
        <v>37000</v>
      </c>
      <c r="D41">
        <v>75</v>
      </c>
      <c r="E41" s="10" t="s">
        <v>23</v>
      </c>
      <c r="F41" s="5">
        <v>107</v>
      </c>
      <c r="G41" s="5">
        <v>202</v>
      </c>
      <c r="H41" s="5">
        <v>309</v>
      </c>
    </row>
    <row r="42" spans="1:90">
      <c r="A42" t="s">
        <v>6</v>
      </c>
      <c r="B42">
        <v>65</v>
      </c>
      <c r="C42" s="12">
        <v>38000</v>
      </c>
      <c r="D42">
        <v>35</v>
      </c>
      <c r="E42" s="10" t="s">
        <v>15</v>
      </c>
      <c r="F42" s="5">
        <v>6636</v>
      </c>
      <c r="G42" s="5">
        <v>5476</v>
      </c>
      <c r="H42" s="5">
        <v>12112</v>
      </c>
    </row>
    <row r="43" spans="1:90">
      <c r="A43" t="s">
        <v>5</v>
      </c>
      <c r="B43">
        <v>24</v>
      </c>
      <c r="C43" s="12">
        <v>38000</v>
      </c>
      <c r="D43">
        <v>92</v>
      </c>
    </row>
    <row r="44" spans="1:90">
      <c r="A44" t="s">
        <v>5</v>
      </c>
      <c r="B44">
        <v>48</v>
      </c>
      <c r="C44" s="12">
        <v>39000</v>
      </c>
      <c r="D44">
        <v>36</v>
      </c>
    </row>
    <row r="45" spans="1:90">
      <c r="A45" t="s">
        <v>6</v>
      </c>
      <c r="B45">
        <v>31</v>
      </c>
      <c r="C45" s="12">
        <v>39000</v>
      </c>
      <c r="D45">
        <v>61</v>
      </c>
      <c r="E45" s="9" t="s">
        <v>17</v>
      </c>
      <c r="F45" t="s">
        <v>16</v>
      </c>
    </row>
    <row r="46" spans="1:90">
      <c r="A46" t="s">
        <v>6</v>
      </c>
      <c r="B46">
        <v>49</v>
      </c>
      <c r="C46" s="12">
        <v>39000</v>
      </c>
      <c r="D46">
        <v>28</v>
      </c>
      <c r="E46" s="9" t="s">
        <v>14</v>
      </c>
      <c r="F46" s="9" t="s">
        <v>6</v>
      </c>
      <c r="G46" s="9" t="s">
        <v>5</v>
      </c>
      <c r="H46" s="9" t="s">
        <v>15</v>
      </c>
      <c r="I46" s="9"/>
      <c r="J46" s="9"/>
      <c r="K46" s="9"/>
      <c r="L46" s="9"/>
      <c r="M46" s="9"/>
      <c r="N46" s="9"/>
      <c r="O46" s="9"/>
      <c r="P46" s="9"/>
      <c r="Q46" s="9"/>
      <c r="R46" s="9"/>
      <c r="S46" s="9"/>
      <c r="T46" s="9"/>
      <c r="U46" s="9"/>
      <c r="V46" s="9"/>
      <c r="W46" s="9"/>
      <c r="X46" s="9"/>
      <c r="Y46" s="9"/>
      <c r="Z46" s="9"/>
      <c r="AA46" s="9"/>
      <c r="AB46" s="9"/>
      <c r="AC46" s="9"/>
      <c r="AD46" s="9"/>
      <c r="AE46" s="9"/>
      <c r="AF46" s="9"/>
      <c r="AG46" s="9"/>
      <c r="AH46" s="9"/>
      <c r="AI46" s="9"/>
      <c r="AJ46" s="9"/>
      <c r="AK46" s="9"/>
      <c r="AL46" s="9"/>
      <c r="AM46" s="9"/>
      <c r="AN46" s="9"/>
      <c r="AO46" s="9"/>
      <c r="AP46" s="9"/>
      <c r="AQ46" s="9"/>
      <c r="AR46" s="9"/>
      <c r="AS46" s="9"/>
      <c r="AT46" s="9"/>
      <c r="AU46" s="9"/>
      <c r="AV46" s="9"/>
      <c r="AW46" s="9"/>
      <c r="AX46" s="9"/>
      <c r="AY46" s="9"/>
      <c r="AZ46" s="9"/>
      <c r="BA46" s="9"/>
      <c r="BB46" s="9"/>
      <c r="BC46" s="9"/>
      <c r="BD46" s="9"/>
      <c r="BE46" s="9"/>
      <c r="BF46" s="9"/>
      <c r="BG46" s="9"/>
      <c r="BH46" s="9"/>
      <c r="BI46" s="9"/>
      <c r="BJ46" s="9"/>
      <c r="BK46" s="9"/>
      <c r="BL46" s="9"/>
      <c r="BM46" s="9"/>
      <c r="BN46" s="9"/>
      <c r="BO46" s="9"/>
      <c r="BP46" s="9"/>
      <c r="BQ46" s="9"/>
      <c r="BR46" s="9"/>
      <c r="BS46" s="9"/>
      <c r="BT46" s="9"/>
      <c r="BU46" s="9"/>
      <c r="BV46" s="9"/>
      <c r="BW46" s="9"/>
      <c r="BX46" s="9"/>
      <c r="BY46" s="9"/>
      <c r="BZ46" s="9"/>
      <c r="CA46" s="9"/>
      <c r="CB46" s="9"/>
      <c r="CC46" s="9"/>
      <c r="CD46" s="9"/>
      <c r="CE46" s="9"/>
      <c r="CF46" s="9"/>
      <c r="CG46" s="9"/>
      <c r="CH46" s="9"/>
      <c r="CI46" s="9"/>
      <c r="CJ46" s="9"/>
      <c r="CK46" s="9"/>
      <c r="CL46" s="9"/>
    </row>
    <row r="47" spans="1:90">
      <c r="A47" t="s">
        <v>6</v>
      </c>
      <c r="B47">
        <v>24</v>
      </c>
      <c r="C47" s="12">
        <v>39000</v>
      </c>
      <c r="D47">
        <v>65</v>
      </c>
      <c r="E47" s="10" t="s">
        <v>18</v>
      </c>
      <c r="F47" s="11">
        <v>0.21428571428571427</v>
      </c>
      <c r="G47" s="11">
        <v>0.25</v>
      </c>
      <c r="H47" s="11">
        <v>0.23</v>
      </c>
    </row>
    <row r="48" spans="1:90">
      <c r="A48" t="s">
        <v>6</v>
      </c>
      <c r="B48">
        <v>50</v>
      </c>
      <c r="C48" s="12">
        <v>40000</v>
      </c>
      <c r="D48">
        <v>55</v>
      </c>
      <c r="E48" s="10" t="s">
        <v>19</v>
      </c>
      <c r="F48" s="11">
        <v>0.3392857142857143</v>
      </c>
      <c r="G48" s="11">
        <v>0.26136363636363635</v>
      </c>
      <c r="H48" s="11">
        <v>0.30499999999999999</v>
      </c>
    </row>
    <row r="49" spans="1:8">
      <c r="A49" t="s">
        <v>6</v>
      </c>
      <c r="B49">
        <v>27</v>
      </c>
      <c r="C49" s="12">
        <v>40000</v>
      </c>
      <c r="D49">
        <v>47</v>
      </c>
      <c r="E49" s="10" t="s">
        <v>20</v>
      </c>
      <c r="F49" s="11">
        <v>0.19642857142857142</v>
      </c>
      <c r="G49" s="11">
        <v>0.15909090909090909</v>
      </c>
      <c r="H49" s="11">
        <v>0.18</v>
      </c>
    </row>
    <row r="50" spans="1:8">
      <c r="A50" t="s">
        <v>6</v>
      </c>
      <c r="B50">
        <v>29</v>
      </c>
      <c r="C50" s="12">
        <v>40000</v>
      </c>
      <c r="D50">
        <v>42</v>
      </c>
      <c r="E50" s="10" t="s">
        <v>21</v>
      </c>
      <c r="F50" s="11">
        <v>0.16964285714285715</v>
      </c>
      <c r="G50" s="11">
        <v>0.13636363636363635</v>
      </c>
      <c r="H50" s="11">
        <v>0.155</v>
      </c>
    </row>
    <row r="51" spans="1:8">
      <c r="A51" t="s">
        <v>6</v>
      </c>
      <c r="B51">
        <v>31</v>
      </c>
      <c r="C51" s="12">
        <v>40000</v>
      </c>
      <c r="D51">
        <v>42</v>
      </c>
      <c r="E51" s="10" t="s">
        <v>22</v>
      </c>
      <c r="F51" s="11">
        <v>6.25E-2</v>
      </c>
      <c r="G51" s="11">
        <v>0.14772727272727273</v>
      </c>
      <c r="H51" s="11">
        <v>0.1</v>
      </c>
    </row>
    <row r="52" spans="1:8">
      <c r="A52" t="s">
        <v>6</v>
      </c>
      <c r="B52">
        <v>49</v>
      </c>
      <c r="C52" s="12">
        <v>42000</v>
      </c>
      <c r="D52">
        <v>52</v>
      </c>
      <c r="E52" s="10" t="s">
        <v>23</v>
      </c>
      <c r="F52" s="11">
        <v>1.7857142857142856E-2</v>
      </c>
      <c r="G52" s="11">
        <v>4.5454545454545456E-2</v>
      </c>
      <c r="H52" s="11">
        <v>0.03</v>
      </c>
    </row>
    <row r="53" spans="1:8">
      <c r="A53" t="s">
        <v>5</v>
      </c>
      <c r="B53">
        <v>33</v>
      </c>
      <c r="C53" s="12">
        <v>42000</v>
      </c>
      <c r="D53">
        <v>60</v>
      </c>
      <c r="E53" s="10" t="s">
        <v>15</v>
      </c>
      <c r="F53" s="11">
        <v>1</v>
      </c>
      <c r="G53" s="11">
        <v>1</v>
      </c>
      <c r="H53" s="11">
        <v>1</v>
      </c>
    </row>
    <row r="54" spans="1:8">
      <c r="A54" t="s">
        <v>6</v>
      </c>
      <c r="B54">
        <v>31</v>
      </c>
      <c r="C54" s="12">
        <v>43000</v>
      </c>
      <c r="D54">
        <v>54</v>
      </c>
    </row>
    <row r="55" spans="1:8">
      <c r="A55" t="s">
        <v>5</v>
      </c>
      <c r="B55">
        <v>59</v>
      </c>
      <c r="C55" s="12">
        <v>43000</v>
      </c>
      <c r="D55">
        <v>60</v>
      </c>
    </row>
    <row r="56" spans="1:8">
      <c r="A56" t="s">
        <v>6</v>
      </c>
      <c r="B56">
        <v>50</v>
      </c>
      <c r="C56" s="12">
        <v>43000</v>
      </c>
      <c r="D56">
        <v>45</v>
      </c>
    </row>
    <row r="57" spans="1:8">
      <c r="A57" t="s">
        <v>5</v>
      </c>
      <c r="B57">
        <v>47</v>
      </c>
      <c r="C57" s="12">
        <v>43000</v>
      </c>
      <c r="D57">
        <v>41</v>
      </c>
    </row>
    <row r="58" spans="1:8">
      <c r="A58" t="s">
        <v>6</v>
      </c>
      <c r="B58">
        <v>51</v>
      </c>
      <c r="C58" s="12">
        <v>44000</v>
      </c>
      <c r="D58">
        <v>50</v>
      </c>
    </row>
    <row r="59" spans="1:8">
      <c r="A59" t="s">
        <v>5</v>
      </c>
      <c r="B59">
        <v>69</v>
      </c>
      <c r="C59" s="12">
        <v>44000</v>
      </c>
      <c r="D59">
        <v>46</v>
      </c>
    </row>
    <row r="60" spans="1:8">
      <c r="A60" t="s">
        <v>6</v>
      </c>
      <c r="B60">
        <v>27</v>
      </c>
      <c r="C60" s="12">
        <v>46000</v>
      </c>
      <c r="D60">
        <v>51</v>
      </c>
    </row>
    <row r="61" spans="1:8">
      <c r="A61" t="s">
        <v>5</v>
      </c>
      <c r="B61">
        <v>53</v>
      </c>
      <c r="C61" s="12">
        <v>46000</v>
      </c>
      <c r="D61">
        <v>46</v>
      </c>
    </row>
    <row r="62" spans="1:8">
      <c r="A62" t="s">
        <v>5</v>
      </c>
      <c r="B62">
        <v>70</v>
      </c>
      <c r="C62" s="12">
        <v>46000</v>
      </c>
      <c r="D62">
        <v>56</v>
      </c>
    </row>
    <row r="63" spans="1:8">
      <c r="A63" t="s">
        <v>5</v>
      </c>
      <c r="B63">
        <v>19</v>
      </c>
      <c r="C63" s="12">
        <v>46000</v>
      </c>
      <c r="D63">
        <v>55</v>
      </c>
    </row>
    <row r="64" spans="1:8">
      <c r="A64" t="s">
        <v>6</v>
      </c>
      <c r="B64">
        <v>67</v>
      </c>
      <c r="C64" s="12">
        <v>47000</v>
      </c>
      <c r="D64">
        <v>52</v>
      </c>
    </row>
    <row r="65" spans="1:4">
      <c r="A65" t="s">
        <v>6</v>
      </c>
      <c r="B65">
        <v>54</v>
      </c>
      <c r="C65" s="12">
        <v>47000</v>
      </c>
      <c r="D65">
        <v>59</v>
      </c>
    </row>
    <row r="66" spans="1:4">
      <c r="A66" t="s">
        <v>5</v>
      </c>
      <c r="B66">
        <v>63</v>
      </c>
      <c r="C66" s="12">
        <v>48000</v>
      </c>
      <c r="D66">
        <v>51</v>
      </c>
    </row>
    <row r="67" spans="1:4">
      <c r="A67" t="s">
        <v>5</v>
      </c>
      <c r="B67">
        <v>18</v>
      </c>
      <c r="C67" s="12">
        <v>48000</v>
      </c>
      <c r="D67">
        <v>59</v>
      </c>
    </row>
    <row r="68" spans="1:4">
      <c r="A68" t="s">
        <v>6</v>
      </c>
      <c r="B68">
        <v>43</v>
      </c>
      <c r="C68" s="12">
        <v>48000</v>
      </c>
      <c r="D68">
        <v>50</v>
      </c>
    </row>
    <row r="69" spans="1:4">
      <c r="A69" t="s">
        <v>6</v>
      </c>
      <c r="B69">
        <v>68</v>
      </c>
      <c r="C69" s="12">
        <v>48000</v>
      </c>
      <c r="D69">
        <v>48</v>
      </c>
    </row>
    <row r="70" spans="1:4">
      <c r="A70" t="s">
        <v>5</v>
      </c>
      <c r="B70">
        <v>19</v>
      </c>
      <c r="C70" s="12">
        <v>48000</v>
      </c>
      <c r="D70">
        <v>59</v>
      </c>
    </row>
    <row r="71" spans="1:4">
      <c r="A71" t="s">
        <v>6</v>
      </c>
      <c r="B71">
        <v>32</v>
      </c>
      <c r="C71" s="12">
        <v>48000</v>
      </c>
      <c r="D71">
        <v>47</v>
      </c>
    </row>
    <row r="72" spans="1:4">
      <c r="A72" t="s">
        <v>5</v>
      </c>
      <c r="B72">
        <v>70</v>
      </c>
      <c r="C72" s="12">
        <v>49000</v>
      </c>
      <c r="D72">
        <v>55</v>
      </c>
    </row>
    <row r="73" spans="1:4">
      <c r="A73" t="s">
        <v>6</v>
      </c>
      <c r="B73">
        <v>47</v>
      </c>
      <c r="C73" s="12">
        <v>49000</v>
      </c>
      <c r="D73">
        <v>42</v>
      </c>
    </row>
    <row r="74" spans="1:4">
      <c r="A74" t="s">
        <v>6</v>
      </c>
      <c r="B74">
        <v>60</v>
      </c>
      <c r="C74" s="12">
        <v>50000</v>
      </c>
      <c r="D74">
        <v>49</v>
      </c>
    </row>
    <row r="75" spans="1:4">
      <c r="A75" t="s">
        <v>6</v>
      </c>
      <c r="B75">
        <v>60</v>
      </c>
      <c r="C75" s="12">
        <v>50000</v>
      </c>
      <c r="D75">
        <v>56</v>
      </c>
    </row>
    <row r="76" spans="1:4">
      <c r="A76" t="s">
        <v>5</v>
      </c>
      <c r="B76">
        <v>59</v>
      </c>
      <c r="C76" s="12">
        <v>54000</v>
      </c>
      <c r="D76">
        <v>47</v>
      </c>
    </row>
    <row r="77" spans="1:4">
      <c r="A77" t="s">
        <v>5</v>
      </c>
      <c r="B77">
        <v>26</v>
      </c>
      <c r="C77" s="12">
        <v>54000</v>
      </c>
      <c r="D77">
        <v>54</v>
      </c>
    </row>
    <row r="78" spans="1:4">
      <c r="A78" t="s">
        <v>6</v>
      </c>
      <c r="B78">
        <v>45</v>
      </c>
      <c r="C78" s="12">
        <v>54000</v>
      </c>
      <c r="D78">
        <v>53</v>
      </c>
    </row>
    <row r="79" spans="1:4">
      <c r="A79" t="s">
        <v>5</v>
      </c>
      <c r="B79">
        <v>40</v>
      </c>
      <c r="C79" s="12">
        <v>54000</v>
      </c>
      <c r="D79">
        <v>48</v>
      </c>
    </row>
    <row r="80" spans="1:4">
      <c r="A80" t="s">
        <v>6</v>
      </c>
      <c r="B80">
        <v>23</v>
      </c>
      <c r="C80" s="12">
        <v>54000</v>
      </c>
      <c r="D80">
        <v>52</v>
      </c>
    </row>
    <row r="81" spans="1:4">
      <c r="A81" t="s">
        <v>6</v>
      </c>
      <c r="B81">
        <v>49</v>
      </c>
      <c r="C81" s="12">
        <v>54000</v>
      </c>
      <c r="D81">
        <v>42</v>
      </c>
    </row>
    <row r="82" spans="1:4">
      <c r="A82" t="s">
        <v>5</v>
      </c>
      <c r="B82">
        <v>57</v>
      </c>
      <c r="C82" s="12">
        <v>54000</v>
      </c>
      <c r="D82">
        <v>51</v>
      </c>
    </row>
    <row r="83" spans="1:4">
      <c r="A83" t="s">
        <v>5</v>
      </c>
      <c r="B83">
        <v>38</v>
      </c>
      <c r="C83" s="12">
        <v>54000</v>
      </c>
      <c r="D83">
        <v>55</v>
      </c>
    </row>
    <row r="84" spans="1:4">
      <c r="A84" t="s">
        <v>5</v>
      </c>
      <c r="B84">
        <v>67</v>
      </c>
      <c r="C84" s="12">
        <v>54000</v>
      </c>
      <c r="D84">
        <v>41</v>
      </c>
    </row>
    <row r="85" spans="1:4">
      <c r="A85" t="s">
        <v>6</v>
      </c>
      <c r="B85">
        <v>46</v>
      </c>
      <c r="C85" s="12">
        <v>54000</v>
      </c>
      <c r="D85">
        <v>44</v>
      </c>
    </row>
    <row r="86" spans="1:4">
      <c r="A86" t="s">
        <v>6</v>
      </c>
      <c r="B86">
        <v>21</v>
      </c>
      <c r="C86" s="12">
        <v>54000</v>
      </c>
      <c r="D86">
        <v>57</v>
      </c>
    </row>
    <row r="87" spans="1:4">
      <c r="A87" t="s">
        <v>5</v>
      </c>
      <c r="B87">
        <v>48</v>
      </c>
      <c r="C87" s="12">
        <v>54000</v>
      </c>
      <c r="D87">
        <v>46</v>
      </c>
    </row>
    <row r="88" spans="1:4">
      <c r="A88" t="s">
        <v>6</v>
      </c>
      <c r="B88">
        <v>55</v>
      </c>
      <c r="C88" s="12">
        <v>57000</v>
      </c>
      <c r="D88">
        <v>58</v>
      </c>
    </row>
    <row r="89" spans="1:4">
      <c r="A89" t="s">
        <v>6</v>
      </c>
      <c r="B89">
        <v>22</v>
      </c>
      <c r="C89" s="12">
        <v>57000</v>
      </c>
      <c r="D89">
        <v>55</v>
      </c>
    </row>
    <row r="90" spans="1:4">
      <c r="A90" t="s">
        <v>6</v>
      </c>
      <c r="B90">
        <v>34</v>
      </c>
      <c r="C90" s="12">
        <v>58000</v>
      </c>
      <c r="D90">
        <v>60</v>
      </c>
    </row>
    <row r="91" spans="1:4">
      <c r="A91" t="s">
        <v>6</v>
      </c>
      <c r="B91">
        <v>50</v>
      </c>
      <c r="C91" s="12">
        <v>58000</v>
      </c>
      <c r="D91">
        <v>46</v>
      </c>
    </row>
    <row r="92" spans="1:4">
      <c r="A92" t="s">
        <v>6</v>
      </c>
      <c r="B92">
        <v>68</v>
      </c>
      <c r="C92" s="12">
        <v>59000</v>
      </c>
      <c r="D92">
        <v>55</v>
      </c>
    </row>
    <row r="93" spans="1:4">
      <c r="A93" t="s">
        <v>5</v>
      </c>
      <c r="B93">
        <v>18</v>
      </c>
      <c r="C93" s="12">
        <v>59000</v>
      </c>
      <c r="D93">
        <v>41</v>
      </c>
    </row>
    <row r="94" spans="1:4">
      <c r="A94" t="s">
        <v>5</v>
      </c>
      <c r="B94">
        <v>48</v>
      </c>
      <c r="C94" s="12">
        <v>60000</v>
      </c>
      <c r="D94">
        <v>49</v>
      </c>
    </row>
    <row r="95" spans="1:4">
      <c r="A95" t="s">
        <v>6</v>
      </c>
      <c r="B95">
        <v>40</v>
      </c>
      <c r="C95" s="12">
        <v>60000</v>
      </c>
      <c r="D95">
        <v>40</v>
      </c>
    </row>
    <row r="96" spans="1:4">
      <c r="A96" t="s">
        <v>6</v>
      </c>
      <c r="B96">
        <v>32</v>
      </c>
      <c r="C96" s="12">
        <v>60000</v>
      </c>
      <c r="D96">
        <v>42</v>
      </c>
    </row>
    <row r="97" spans="1:4">
      <c r="A97" t="s">
        <v>5</v>
      </c>
      <c r="B97">
        <v>24</v>
      </c>
      <c r="C97" s="12">
        <v>60000</v>
      </c>
      <c r="D97">
        <v>52</v>
      </c>
    </row>
    <row r="98" spans="1:4">
      <c r="A98" t="s">
        <v>6</v>
      </c>
      <c r="B98">
        <v>47</v>
      </c>
      <c r="C98" s="12">
        <v>60000</v>
      </c>
      <c r="D98">
        <v>47</v>
      </c>
    </row>
    <row r="99" spans="1:4">
      <c r="A99" t="s">
        <v>6</v>
      </c>
      <c r="B99">
        <v>27</v>
      </c>
      <c r="C99" s="12">
        <v>60000</v>
      </c>
      <c r="D99">
        <v>50</v>
      </c>
    </row>
    <row r="100" spans="1:4">
      <c r="A100" t="s">
        <v>5</v>
      </c>
      <c r="B100">
        <v>48</v>
      </c>
      <c r="C100" s="12">
        <v>61000</v>
      </c>
      <c r="D100">
        <v>42</v>
      </c>
    </row>
    <row r="101" spans="1:4">
      <c r="A101" t="s">
        <v>5</v>
      </c>
      <c r="B101">
        <v>20</v>
      </c>
      <c r="C101" s="12">
        <v>61000</v>
      </c>
      <c r="D101">
        <v>49</v>
      </c>
    </row>
    <row r="102" spans="1:4">
      <c r="A102" t="s">
        <v>6</v>
      </c>
      <c r="B102">
        <v>23</v>
      </c>
      <c r="C102" s="12">
        <v>62000</v>
      </c>
      <c r="D102">
        <v>41</v>
      </c>
    </row>
    <row r="103" spans="1:4">
      <c r="A103" t="s">
        <v>6</v>
      </c>
      <c r="B103">
        <v>49</v>
      </c>
      <c r="C103" s="12">
        <v>62000</v>
      </c>
      <c r="D103">
        <v>48</v>
      </c>
    </row>
    <row r="104" spans="1:4">
      <c r="A104" t="s">
        <v>5</v>
      </c>
      <c r="B104">
        <v>67</v>
      </c>
      <c r="C104" s="12">
        <v>62000</v>
      </c>
      <c r="D104">
        <v>59</v>
      </c>
    </row>
    <row r="105" spans="1:4">
      <c r="A105" t="s">
        <v>5</v>
      </c>
      <c r="B105">
        <v>26</v>
      </c>
      <c r="C105" s="12">
        <v>62000</v>
      </c>
      <c r="D105">
        <v>55</v>
      </c>
    </row>
    <row r="106" spans="1:4">
      <c r="A106" t="s">
        <v>5</v>
      </c>
      <c r="B106">
        <v>49</v>
      </c>
      <c r="C106" s="12">
        <v>62000</v>
      </c>
      <c r="D106">
        <v>56</v>
      </c>
    </row>
    <row r="107" spans="1:4">
      <c r="A107" t="s">
        <v>6</v>
      </c>
      <c r="B107">
        <v>21</v>
      </c>
      <c r="C107" s="12">
        <v>62000</v>
      </c>
      <c r="D107">
        <v>42</v>
      </c>
    </row>
    <row r="108" spans="1:4">
      <c r="A108" t="s">
        <v>6</v>
      </c>
      <c r="B108">
        <v>66</v>
      </c>
      <c r="C108" s="12">
        <v>63000</v>
      </c>
      <c r="D108">
        <v>50</v>
      </c>
    </row>
    <row r="109" spans="1:4">
      <c r="A109" t="s">
        <v>5</v>
      </c>
      <c r="B109">
        <v>54</v>
      </c>
      <c r="C109" s="12">
        <v>63000</v>
      </c>
      <c r="D109">
        <v>46</v>
      </c>
    </row>
    <row r="110" spans="1:4">
      <c r="A110" t="s">
        <v>5</v>
      </c>
      <c r="B110">
        <v>68</v>
      </c>
      <c r="C110" s="12">
        <v>63000</v>
      </c>
      <c r="D110">
        <v>43</v>
      </c>
    </row>
    <row r="111" spans="1:4">
      <c r="A111" t="s">
        <v>5</v>
      </c>
      <c r="B111">
        <v>66</v>
      </c>
      <c r="C111" s="12">
        <v>63000</v>
      </c>
      <c r="D111">
        <v>48</v>
      </c>
    </row>
    <row r="112" spans="1:4">
      <c r="A112" t="s">
        <v>5</v>
      </c>
      <c r="B112">
        <v>65</v>
      </c>
      <c r="C112" s="12">
        <v>63000</v>
      </c>
      <c r="D112">
        <v>52</v>
      </c>
    </row>
    <row r="113" spans="1:4">
      <c r="A113" t="s">
        <v>6</v>
      </c>
      <c r="B113">
        <v>19</v>
      </c>
      <c r="C113" s="12">
        <v>63000</v>
      </c>
      <c r="D113">
        <v>54</v>
      </c>
    </row>
    <row r="114" spans="1:4">
      <c r="A114" t="s">
        <v>6</v>
      </c>
      <c r="B114">
        <v>38</v>
      </c>
      <c r="C114" s="12">
        <v>64000</v>
      </c>
      <c r="D114">
        <v>42</v>
      </c>
    </row>
    <row r="115" spans="1:4">
      <c r="A115" t="s">
        <v>5</v>
      </c>
      <c r="B115">
        <v>19</v>
      </c>
      <c r="C115" s="12">
        <v>64000</v>
      </c>
      <c r="D115">
        <v>46</v>
      </c>
    </row>
    <row r="116" spans="1:4">
      <c r="A116" t="s">
        <v>6</v>
      </c>
      <c r="B116">
        <v>18</v>
      </c>
      <c r="C116" s="12">
        <v>65000</v>
      </c>
      <c r="D116">
        <v>48</v>
      </c>
    </row>
    <row r="117" spans="1:4">
      <c r="A117" t="s">
        <v>6</v>
      </c>
      <c r="B117">
        <v>19</v>
      </c>
      <c r="C117" s="12">
        <v>65000</v>
      </c>
      <c r="D117">
        <v>50</v>
      </c>
    </row>
    <row r="118" spans="1:4">
      <c r="A118" t="s">
        <v>6</v>
      </c>
      <c r="B118">
        <v>63</v>
      </c>
      <c r="C118" s="12">
        <v>65000</v>
      </c>
      <c r="D118">
        <v>43</v>
      </c>
    </row>
    <row r="119" spans="1:4">
      <c r="A119" t="s">
        <v>6</v>
      </c>
      <c r="B119">
        <v>49</v>
      </c>
      <c r="C119" s="12">
        <v>65000</v>
      </c>
      <c r="D119">
        <v>59</v>
      </c>
    </row>
    <row r="120" spans="1:4">
      <c r="A120" t="s">
        <v>6</v>
      </c>
      <c r="B120">
        <v>51</v>
      </c>
      <c r="C120" s="12">
        <v>67000</v>
      </c>
      <c r="D120">
        <v>43</v>
      </c>
    </row>
    <row r="121" spans="1:4">
      <c r="A121" t="s">
        <v>6</v>
      </c>
      <c r="B121">
        <v>50</v>
      </c>
      <c r="C121" s="12">
        <v>67000</v>
      </c>
      <c r="D121">
        <v>57</v>
      </c>
    </row>
    <row r="122" spans="1:4">
      <c r="A122" t="s">
        <v>5</v>
      </c>
      <c r="B122">
        <v>27</v>
      </c>
      <c r="C122" s="12">
        <v>67000</v>
      </c>
      <c r="D122">
        <v>56</v>
      </c>
    </row>
    <row r="123" spans="1:4">
      <c r="A123" t="s">
        <v>6</v>
      </c>
      <c r="B123">
        <v>38</v>
      </c>
      <c r="C123" s="12">
        <v>67000</v>
      </c>
      <c r="D123">
        <v>40</v>
      </c>
    </row>
    <row r="124" spans="1:4">
      <c r="A124" t="s">
        <v>6</v>
      </c>
      <c r="B124">
        <v>40</v>
      </c>
      <c r="C124" s="12">
        <v>69000</v>
      </c>
      <c r="D124">
        <v>58</v>
      </c>
    </row>
    <row r="125" spans="1:4">
      <c r="A125" t="s">
        <v>5</v>
      </c>
      <c r="B125">
        <v>39</v>
      </c>
      <c r="C125" s="12">
        <v>69000</v>
      </c>
      <c r="D125">
        <v>91</v>
      </c>
    </row>
    <row r="126" spans="1:4">
      <c r="A126" t="s">
        <v>6</v>
      </c>
      <c r="B126">
        <v>23</v>
      </c>
      <c r="C126" s="12">
        <v>70000</v>
      </c>
      <c r="D126">
        <v>29</v>
      </c>
    </row>
    <row r="127" spans="1:4">
      <c r="A127" t="s">
        <v>6</v>
      </c>
      <c r="B127">
        <v>31</v>
      </c>
      <c r="C127" s="12">
        <v>70000</v>
      </c>
      <c r="D127">
        <v>77</v>
      </c>
    </row>
    <row r="128" spans="1:4">
      <c r="A128" t="s">
        <v>5</v>
      </c>
      <c r="B128">
        <v>43</v>
      </c>
      <c r="C128" s="12">
        <v>71000</v>
      </c>
      <c r="D128">
        <v>35</v>
      </c>
    </row>
    <row r="129" spans="1:4">
      <c r="A129" t="s">
        <v>5</v>
      </c>
      <c r="B129">
        <v>40</v>
      </c>
      <c r="C129" s="12">
        <v>71000</v>
      </c>
      <c r="D129">
        <v>95</v>
      </c>
    </row>
    <row r="130" spans="1:4">
      <c r="A130" t="s">
        <v>5</v>
      </c>
      <c r="B130">
        <v>59</v>
      </c>
      <c r="C130" s="12">
        <v>71000</v>
      </c>
      <c r="D130">
        <v>11</v>
      </c>
    </row>
    <row r="131" spans="1:4">
      <c r="A131" t="s">
        <v>5</v>
      </c>
      <c r="B131">
        <v>38</v>
      </c>
      <c r="C131" s="12">
        <v>71000</v>
      </c>
      <c r="D131">
        <v>75</v>
      </c>
    </row>
    <row r="132" spans="1:4">
      <c r="A132" t="s">
        <v>5</v>
      </c>
      <c r="B132">
        <v>47</v>
      </c>
      <c r="C132" s="12">
        <v>71000</v>
      </c>
      <c r="D132">
        <v>9</v>
      </c>
    </row>
    <row r="133" spans="1:4">
      <c r="A133" t="s">
        <v>5</v>
      </c>
      <c r="B133">
        <v>39</v>
      </c>
      <c r="C133" s="12">
        <v>71000</v>
      </c>
      <c r="D133">
        <v>75</v>
      </c>
    </row>
    <row r="134" spans="1:4">
      <c r="A134" t="s">
        <v>6</v>
      </c>
      <c r="B134">
        <v>25</v>
      </c>
      <c r="C134" s="12">
        <v>72000</v>
      </c>
      <c r="D134">
        <v>34</v>
      </c>
    </row>
    <row r="135" spans="1:4">
      <c r="A135" t="s">
        <v>6</v>
      </c>
      <c r="B135">
        <v>31</v>
      </c>
      <c r="C135" s="12">
        <v>72000</v>
      </c>
      <c r="D135">
        <v>71</v>
      </c>
    </row>
    <row r="136" spans="1:4">
      <c r="A136" t="s">
        <v>5</v>
      </c>
      <c r="B136">
        <v>20</v>
      </c>
      <c r="C136" s="12">
        <v>73000</v>
      </c>
      <c r="D136">
        <v>5</v>
      </c>
    </row>
    <row r="137" spans="1:4">
      <c r="A137" t="s">
        <v>6</v>
      </c>
      <c r="B137">
        <v>29</v>
      </c>
      <c r="C137" s="12">
        <v>73000</v>
      </c>
      <c r="D137">
        <v>88</v>
      </c>
    </row>
    <row r="138" spans="1:4">
      <c r="A138" t="s">
        <v>6</v>
      </c>
      <c r="B138">
        <v>44</v>
      </c>
      <c r="C138" s="12">
        <v>73000</v>
      </c>
      <c r="D138">
        <v>7</v>
      </c>
    </row>
    <row r="139" spans="1:4">
      <c r="A139" t="s">
        <v>5</v>
      </c>
      <c r="B139">
        <v>32</v>
      </c>
      <c r="C139" s="12">
        <v>73000</v>
      </c>
      <c r="D139">
        <v>73</v>
      </c>
    </row>
    <row r="140" spans="1:4">
      <c r="A140" t="s">
        <v>5</v>
      </c>
      <c r="B140">
        <v>19</v>
      </c>
      <c r="C140" s="12">
        <v>74000</v>
      </c>
      <c r="D140">
        <v>10</v>
      </c>
    </row>
    <row r="141" spans="1:4">
      <c r="A141" t="s">
        <v>6</v>
      </c>
      <c r="B141">
        <v>35</v>
      </c>
      <c r="C141" s="12">
        <v>74000</v>
      </c>
      <c r="D141">
        <v>72</v>
      </c>
    </row>
    <row r="142" spans="1:4">
      <c r="A142" t="s">
        <v>6</v>
      </c>
      <c r="B142">
        <v>57</v>
      </c>
      <c r="C142" s="12">
        <v>75000</v>
      </c>
      <c r="D142">
        <v>5</v>
      </c>
    </row>
    <row r="143" spans="1:4">
      <c r="A143" t="s">
        <v>5</v>
      </c>
      <c r="B143">
        <v>32</v>
      </c>
      <c r="C143" s="12">
        <v>75000</v>
      </c>
      <c r="D143">
        <v>93</v>
      </c>
    </row>
    <row r="144" spans="1:4">
      <c r="A144" t="s">
        <v>6</v>
      </c>
      <c r="B144">
        <v>28</v>
      </c>
      <c r="C144" s="12">
        <v>76000</v>
      </c>
      <c r="D144">
        <v>40</v>
      </c>
    </row>
    <row r="145" spans="1:4">
      <c r="A145" t="s">
        <v>6</v>
      </c>
      <c r="B145">
        <v>32</v>
      </c>
      <c r="C145" s="12">
        <v>76000</v>
      </c>
      <c r="D145">
        <v>87</v>
      </c>
    </row>
    <row r="146" spans="1:4">
      <c r="A146" t="s">
        <v>5</v>
      </c>
      <c r="B146">
        <v>25</v>
      </c>
      <c r="C146" s="12">
        <v>77000</v>
      </c>
      <c r="D146">
        <v>12</v>
      </c>
    </row>
    <row r="147" spans="1:4">
      <c r="A147" t="s">
        <v>5</v>
      </c>
      <c r="B147">
        <v>28</v>
      </c>
      <c r="C147" s="12">
        <v>77000</v>
      </c>
      <c r="D147">
        <v>97</v>
      </c>
    </row>
    <row r="148" spans="1:4">
      <c r="A148" t="s">
        <v>5</v>
      </c>
      <c r="B148">
        <v>48</v>
      </c>
      <c r="C148" s="12">
        <v>77000</v>
      </c>
      <c r="D148">
        <v>36</v>
      </c>
    </row>
    <row r="149" spans="1:4">
      <c r="A149" t="s">
        <v>6</v>
      </c>
      <c r="B149">
        <v>32</v>
      </c>
      <c r="C149" s="12">
        <v>77000</v>
      </c>
      <c r="D149">
        <v>74</v>
      </c>
    </row>
    <row r="150" spans="1:4">
      <c r="A150" t="s">
        <v>6</v>
      </c>
      <c r="B150">
        <v>34</v>
      </c>
      <c r="C150" s="12">
        <v>78000</v>
      </c>
      <c r="D150">
        <v>22</v>
      </c>
    </row>
    <row r="151" spans="1:4">
      <c r="A151" t="s">
        <v>5</v>
      </c>
      <c r="B151">
        <v>34</v>
      </c>
      <c r="C151" s="12">
        <v>78000</v>
      </c>
      <c r="D151">
        <v>90</v>
      </c>
    </row>
    <row r="152" spans="1:4">
      <c r="A152" t="s">
        <v>5</v>
      </c>
      <c r="B152">
        <v>43</v>
      </c>
      <c r="C152" s="12">
        <v>78000</v>
      </c>
      <c r="D152">
        <v>17</v>
      </c>
    </row>
    <row r="153" spans="1:4">
      <c r="A153" t="s">
        <v>5</v>
      </c>
      <c r="B153">
        <v>39</v>
      </c>
      <c r="C153" s="12">
        <v>78000</v>
      </c>
      <c r="D153">
        <v>88</v>
      </c>
    </row>
    <row r="154" spans="1:4">
      <c r="A154" t="s">
        <v>6</v>
      </c>
      <c r="B154">
        <v>44</v>
      </c>
      <c r="C154" s="12">
        <v>78000</v>
      </c>
      <c r="D154">
        <v>20</v>
      </c>
    </row>
    <row r="155" spans="1:4">
      <c r="A155" t="s">
        <v>6</v>
      </c>
      <c r="B155">
        <v>38</v>
      </c>
      <c r="C155" s="12">
        <v>78000</v>
      </c>
      <c r="D155">
        <v>76</v>
      </c>
    </row>
    <row r="156" spans="1:4">
      <c r="A156" t="s">
        <v>6</v>
      </c>
      <c r="B156">
        <v>47</v>
      </c>
      <c r="C156" s="12">
        <v>78000</v>
      </c>
      <c r="D156">
        <v>16</v>
      </c>
    </row>
    <row r="157" spans="1:4">
      <c r="A157" t="s">
        <v>6</v>
      </c>
      <c r="B157">
        <v>27</v>
      </c>
      <c r="C157" s="12">
        <v>78000</v>
      </c>
      <c r="D157">
        <v>89</v>
      </c>
    </row>
    <row r="158" spans="1:4">
      <c r="A158" t="s">
        <v>5</v>
      </c>
      <c r="B158">
        <v>37</v>
      </c>
      <c r="C158" s="12">
        <v>78000</v>
      </c>
      <c r="D158">
        <v>1</v>
      </c>
    </row>
    <row r="159" spans="1:4">
      <c r="A159" t="s">
        <v>6</v>
      </c>
      <c r="B159">
        <v>30</v>
      </c>
      <c r="C159" s="12">
        <v>78000</v>
      </c>
      <c r="D159">
        <v>78</v>
      </c>
    </row>
    <row r="160" spans="1:4">
      <c r="A160" t="s">
        <v>5</v>
      </c>
      <c r="B160">
        <v>34</v>
      </c>
      <c r="C160" s="12">
        <v>78000</v>
      </c>
      <c r="D160">
        <v>1</v>
      </c>
    </row>
    <row r="161" spans="1:4">
      <c r="A161" t="s">
        <v>6</v>
      </c>
      <c r="B161">
        <v>30</v>
      </c>
      <c r="C161" s="12">
        <v>78000</v>
      </c>
      <c r="D161">
        <v>73</v>
      </c>
    </row>
    <row r="162" spans="1:4">
      <c r="A162" t="s">
        <v>6</v>
      </c>
      <c r="B162">
        <v>56</v>
      </c>
      <c r="C162" s="12">
        <v>79000</v>
      </c>
      <c r="D162">
        <v>35</v>
      </c>
    </row>
    <row r="163" spans="1:4">
      <c r="A163" t="s">
        <v>6</v>
      </c>
      <c r="B163">
        <v>29</v>
      </c>
      <c r="C163" s="12">
        <v>79000</v>
      </c>
      <c r="D163">
        <v>83</v>
      </c>
    </row>
    <row r="164" spans="1:4">
      <c r="A164" t="s">
        <v>5</v>
      </c>
      <c r="B164">
        <v>19</v>
      </c>
      <c r="C164" s="12">
        <v>81000</v>
      </c>
      <c r="D164">
        <v>5</v>
      </c>
    </row>
    <row r="165" spans="1:4">
      <c r="A165" t="s">
        <v>6</v>
      </c>
      <c r="B165">
        <v>31</v>
      </c>
      <c r="C165" s="12">
        <v>81000</v>
      </c>
      <c r="D165">
        <v>93</v>
      </c>
    </row>
    <row r="166" spans="1:4">
      <c r="A166" t="s">
        <v>5</v>
      </c>
      <c r="B166">
        <v>50</v>
      </c>
      <c r="C166" s="12">
        <v>85000</v>
      </c>
      <c r="D166">
        <v>26</v>
      </c>
    </row>
    <row r="167" spans="1:4">
      <c r="A167" t="s">
        <v>6</v>
      </c>
      <c r="B167">
        <v>36</v>
      </c>
      <c r="C167" s="12">
        <v>85000</v>
      </c>
      <c r="D167">
        <v>75</v>
      </c>
    </row>
    <row r="168" spans="1:4">
      <c r="A168" t="s">
        <v>5</v>
      </c>
      <c r="B168">
        <v>42</v>
      </c>
      <c r="C168" s="12">
        <v>86000</v>
      </c>
      <c r="D168">
        <v>20</v>
      </c>
    </row>
    <row r="169" spans="1:4">
      <c r="A169" t="s">
        <v>6</v>
      </c>
      <c r="B169">
        <v>33</v>
      </c>
      <c r="C169" s="12">
        <v>86000</v>
      </c>
      <c r="D169">
        <v>95</v>
      </c>
    </row>
    <row r="170" spans="1:4">
      <c r="A170" t="s">
        <v>6</v>
      </c>
      <c r="B170">
        <v>36</v>
      </c>
      <c r="C170" s="12">
        <v>87000</v>
      </c>
      <c r="D170">
        <v>27</v>
      </c>
    </row>
    <row r="171" spans="1:4">
      <c r="A171" t="s">
        <v>5</v>
      </c>
      <c r="B171">
        <v>32</v>
      </c>
      <c r="C171" s="12">
        <v>87000</v>
      </c>
      <c r="D171">
        <v>63</v>
      </c>
    </row>
    <row r="172" spans="1:4">
      <c r="A172" t="s">
        <v>5</v>
      </c>
      <c r="B172">
        <v>40</v>
      </c>
      <c r="C172" s="12">
        <v>87000</v>
      </c>
      <c r="D172">
        <v>13</v>
      </c>
    </row>
    <row r="173" spans="1:4">
      <c r="A173" t="s">
        <v>5</v>
      </c>
      <c r="B173">
        <v>28</v>
      </c>
      <c r="C173" s="12">
        <v>87000</v>
      </c>
      <c r="D173">
        <v>75</v>
      </c>
    </row>
    <row r="174" spans="1:4">
      <c r="A174" t="s">
        <v>5</v>
      </c>
      <c r="B174">
        <v>36</v>
      </c>
      <c r="C174" s="12">
        <v>87000</v>
      </c>
      <c r="D174">
        <v>10</v>
      </c>
    </row>
    <row r="175" spans="1:4">
      <c r="A175" t="s">
        <v>5</v>
      </c>
      <c r="B175">
        <v>36</v>
      </c>
      <c r="C175" s="12">
        <v>87000</v>
      </c>
      <c r="D175">
        <v>92</v>
      </c>
    </row>
    <row r="176" spans="1:4">
      <c r="A176" t="s">
        <v>6</v>
      </c>
      <c r="B176">
        <v>52</v>
      </c>
      <c r="C176" s="12">
        <v>88000</v>
      </c>
      <c r="D176">
        <v>13</v>
      </c>
    </row>
    <row r="177" spans="1:4">
      <c r="A177" t="s">
        <v>6</v>
      </c>
      <c r="B177">
        <v>30</v>
      </c>
      <c r="C177" s="12">
        <v>88000</v>
      </c>
      <c r="D177">
        <v>86</v>
      </c>
    </row>
    <row r="178" spans="1:4">
      <c r="A178" t="s">
        <v>5</v>
      </c>
      <c r="B178">
        <v>58</v>
      </c>
      <c r="C178" s="12">
        <v>88000</v>
      </c>
      <c r="D178">
        <v>15</v>
      </c>
    </row>
    <row r="179" spans="1:4">
      <c r="A179" t="s">
        <v>5</v>
      </c>
      <c r="B179">
        <v>27</v>
      </c>
      <c r="C179" s="12">
        <v>88000</v>
      </c>
      <c r="D179">
        <v>69</v>
      </c>
    </row>
    <row r="180" spans="1:4">
      <c r="A180" t="s">
        <v>5</v>
      </c>
      <c r="B180">
        <v>59</v>
      </c>
      <c r="C180" s="12">
        <v>93000</v>
      </c>
      <c r="D180">
        <v>14</v>
      </c>
    </row>
    <row r="181" spans="1:4">
      <c r="A181" t="s">
        <v>5</v>
      </c>
      <c r="B181">
        <v>35</v>
      </c>
      <c r="C181" s="12">
        <v>93000</v>
      </c>
      <c r="D181">
        <v>90</v>
      </c>
    </row>
    <row r="182" spans="1:4">
      <c r="A182" t="s">
        <v>6</v>
      </c>
      <c r="B182">
        <v>37</v>
      </c>
      <c r="C182" s="12">
        <v>97000</v>
      </c>
      <c r="D182">
        <v>32</v>
      </c>
    </row>
    <row r="183" spans="1:4">
      <c r="A183" t="s">
        <v>6</v>
      </c>
      <c r="B183">
        <v>32</v>
      </c>
      <c r="C183" s="12">
        <v>97000</v>
      </c>
      <c r="D183">
        <v>86</v>
      </c>
    </row>
    <row r="184" spans="1:4">
      <c r="A184" t="s">
        <v>5</v>
      </c>
      <c r="B184">
        <v>46</v>
      </c>
      <c r="C184" s="12">
        <v>98000</v>
      </c>
      <c r="D184">
        <v>15</v>
      </c>
    </row>
    <row r="185" spans="1:4">
      <c r="A185" t="s">
        <v>6</v>
      </c>
      <c r="B185">
        <v>29</v>
      </c>
      <c r="C185" s="12">
        <v>98000</v>
      </c>
      <c r="D185">
        <v>88</v>
      </c>
    </row>
    <row r="186" spans="1:4">
      <c r="A186" t="s">
        <v>6</v>
      </c>
      <c r="B186">
        <v>41</v>
      </c>
      <c r="C186" s="12">
        <v>99000</v>
      </c>
      <c r="D186">
        <v>39</v>
      </c>
    </row>
    <row r="187" spans="1:4">
      <c r="A187" t="s">
        <v>5</v>
      </c>
      <c r="B187">
        <v>30</v>
      </c>
      <c r="C187" s="12">
        <v>99000</v>
      </c>
      <c r="D187">
        <v>97</v>
      </c>
    </row>
    <row r="188" spans="1:4">
      <c r="A188" t="s">
        <v>6</v>
      </c>
      <c r="B188">
        <v>54</v>
      </c>
      <c r="C188" s="12">
        <v>101000</v>
      </c>
      <c r="D188">
        <v>24</v>
      </c>
    </row>
    <row r="189" spans="1:4">
      <c r="A189" t="s">
        <v>5</v>
      </c>
      <c r="B189">
        <v>28</v>
      </c>
      <c r="C189" s="12">
        <v>101000</v>
      </c>
      <c r="D189">
        <v>68</v>
      </c>
    </row>
    <row r="190" spans="1:4">
      <c r="A190" t="s">
        <v>6</v>
      </c>
      <c r="B190">
        <v>41</v>
      </c>
      <c r="C190" s="12">
        <v>103000</v>
      </c>
      <c r="D190">
        <v>17</v>
      </c>
    </row>
    <row r="191" spans="1:4">
      <c r="A191" t="s">
        <v>6</v>
      </c>
      <c r="B191">
        <v>36</v>
      </c>
      <c r="C191" s="12">
        <v>103000</v>
      </c>
      <c r="D191">
        <v>85</v>
      </c>
    </row>
    <row r="192" spans="1:4">
      <c r="A192" t="s">
        <v>6</v>
      </c>
      <c r="B192">
        <v>34</v>
      </c>
      <c r="C192" s="12">
        <v>103000</v>
      </c>
      <c r="D192">
        <v>23</v>
      </c>
    </row>
    <row r="193" spans="1:4">
      <c r="A193" t="s">
        <v>6</v>
      </c>
      <c r="B193">
        <v>32</v>
      </c>
      <c r="C193" s="12">
        <v>103000</v>
      </c>
      <c r="D193">
        <v>69</v>
      </c>
    </row>
    <row r="194" spans="1:4">
      <c r="A194" t="s">
        <v>5</v>
      </c>
      <c r="B194">
        <v>33</v>
      </c>
      <c r="C194" s="12">
        <v>113000</v>
      </c>
      <c r="D194">
        <v>8</v>
      </c>
    </row>
    <row r="195" spans="1:4">
      <c r="A195" t="s">
        <v>6</v>
      </c>
      <c r="B195">
        <v>38</v>
      </c>
      <c r="C195" s="12">
        <v>113000</v>
      </c>
      <c r="D195">
        <v>91</v>
      </c>
    </row>
    <row r="196" spans="1:4">
      <c r="A196" t="s">
        <v>6</v>
      </c>
      <c r="B196">
        <v>47</v>
      </c>
      <c r="C196" s="12">
        <v>120000</v>
      </c>
      <c r="D196">
        <v>16</v>
      </c>
    </row>
    <row r="197" spans="1:4">
      <c r="A197" t="s">
        <v>6</v>
      </c>
      <c r="B197">
        <v>35</v>
      </c>
      <c r="C197" s="12">
        <v>120000</v>
      </c>
      <c r="D197">
        <v>79</v>
      </c>
    </row>
    <row r="198" spans="1:4">
      <c r="A198" t="s">
        <v>6</v>
      </c>
      <c r="B198">
        <v>45</v>
      </c>
      <c r="C198" s="12">
        <v>126000</v>
      </c>
      <c r="D198">
        <v>28</v>
      </c>
    </row>
    <row r="199" spans="1:4">
      <c r="A199" t="s">
        <v>5</v>
      </c>
      <c r="B199">
        <v>32</v>
      </c>
      <c r="C199" s="12">
        <v>126000</v>
      </c>
      <c r="D199">
        <v>74</v>
      </c>
    </row>
    <row r="200" spans="1:4">
      <c r="A200" t="s">
        <v>5</v>
      </c>
      <c r="B200">
        <v>32</v>
      </c>
      <c r="C200" s="12">
        <v>137000</v>
      </c>
      <c r="D200">
        <v>18</v>
      </c>
    </row>
    <row r="201" spans="1:4">
      <c r="A201" t="s">
        <v>5</v>
      </c>
      <c r="B201">
        <v>30</v>
      </c>
      <c r="C201" s="12">
        <v>137000</v>
      </c>
      <c r="D201">
        <v>83</v>
      </c>
    </row>
  </sheetData>
  <pageMargins left="0.7" right="0.7" top="0.75" bottom="0.75" header="0.3" footer="0.3"/>
  <drawing r:id="rId5"/>
  <extLst>
    <ext xmlns:x14="http://schemas.microsoft.com/office/spreadsheetml/2009/9/main" uri="{A8765BA9-456A-4dab-B4F3-ACF838C121DE}">
      <x14:slicerList>
        <x14:slicer r:id="rId6"/>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
  <sheetViews>
    <sheetView tabSelected="1" workbookViewId="0">
      <selection activeCell="Q31" sqref="Q31"/>
    </sheetView>
  </sheetViews>
  <sheetFormatPr baseColWidth="10" defaultRowHeight="16"/>
  <sheetData/>
  <pageMargins left="0.7" right="0.7" top="0.75" bottom="0.75" header="0.3" footer="0.3"/>
  <drawing r:id="rId1"/>
  <extLst>
    <ext xmlns:x14="http://schemas.microsoft.com/office/spreadsheetml/2009/9/main" uri="{A8765BA9-456A-4dab-B4F3-ACF838C121DE}">
      <x14:slicerList>
        <x14:slicer r:id="rId2"/>
      </x14:slicerList>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4</vt:i4>
      </vt:variant>
    </vt:vector>
  </HeadingPairs>
  <TitlesOfParts>
    <vt:vector size="4" baseType="lpstr">
      <vt:lpstr>Mall_Customers</vt:lpstr>
      <vt:lpstr>Wrok_Sheet1</vt:lpstr>
      <vt:lpstr>Work-Sheet</vt:lpstr>
      <vt:lpstr>Visualized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Nikitha Rajendran</dc:creator>
  <cp:lastModifiedBy>Nikitha Rajendran</cp:lastModifiedBy>
  <dcterms:created xsi:type="dcterms:W3CDTF">2019-02-21T06:02:49Z</dcterms:created>
  <dcterms:modified xsi:type="dcterms:W3CDTF">2019-02-21T06:03:42Z</dcterms:modified>
</cp:coreProperties>
</file>